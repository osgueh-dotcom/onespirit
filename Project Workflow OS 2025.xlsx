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" sheetId="1" r:id="rId5"/>
    <sheet state="visible" name="Dashboard" sheetId="2" r:id="rId6"/>
    <sheet state="visible" name="Workflow" sheetId="3" r:id="rId7"/>
    <sheet state="visible" name="Helper" sheetId="4" r:id="rId8"/>
  </sheets>
  <definedNames>
    <definedName hidden="1" localSheetId="2" name="_xlnm._FilterDatabase">Workflow!$B$5:$AT$260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tc={5f37b801-75df-4a8d-a72d-6f6658459c77}</author>
  </authors>
  <commentList>
    <comment authorId="0" xr:uid="{5f37b801-75df-4a8d-a72d-6f6658459c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Hapus Jaa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tc={96c207e8-f748-4bbf-b64d-107674aed11f}</author>
    <author>tc={b18b1b53-398e-4270-a1f7-84e78e9fc238}</author>
  </authors>
  <commentList>
    <comment authorId="0" ref="H5">
      <text>
        <t xml:space="preserve">Describe your MoM here :</t>
      </text>
    </comment>
    <comment authorId="0" ref="AH5">
      <text>
        <t xml:space="preserve">Note</t>
      </text>
    </comment>
    <comment authorId="0" ref="H6">
      <text>
        <t xml:space="preserve">Note</t>
      </text>
    </comment>
    <comment authorId="0" ref="AH6">
      <text>
        <t xml:space="preserve">Note</t>
      </text>
    </comment>
    <comment authorId="0" ref="H7">
      <text>
        <t xml:space="preserve">Note</t>
      </text>
    </comment>
    <comment authorId="0" ref="AH7">
      <text>
        <t xml:space="preserve">Note</t>
      </text>
    </comment>
    <comment authorId="0" ref="H8">
      <text>
        <t xml:space="preserve">Note</t>
      </text>
    </comment>
    <comment authorId="0" ref="AH8">
      <text>
        <t xml:space="preserve">Note</t>
      </text>
    </comment>
    <comment authorId="0" ref="H9">
      <text>
        <t xml:space="preserve">Note</t>
      </text>
    </comment>
    <comment authorId="0" ref="AH9">
      <text>
        <t xml:space="preserve">Note</t>
      </text>
    </comment>
    <comment authorId="0" ref="H11">
      <text>
        <t xml:space="preserve">Note</t>
      </text>
    </comment>
    <comment authorId="0" ref="AH11">
      <text>
        <t xml:space="preserve">Note</t>
      </text>
    </comment>
    <comment authorId="0" ref="H12">
      <text>
        <t xml:space="preserve">Note</t>
      </text>
    </comment>
    <comment authorId="0" ref="AH12">
      <text>
        <t xml:space="preserve">Note</t>
      </text>
    </comment>
    <comment authorId="0" ref="H13">
      <text>
        <t xml:space="preserve">Note</t>
      </text>
    </comment>
    <comment authorId="0" ref="AH13">
      <text>
        <t xml:space="preserve">Note</t>
      </text>
    </comment>
    <comment authorId="0" ref="H14">
      <text>
        <t xml:space="preserve">Note</t>
      </text>
    </comment>
    <comment authorId="0" ref="AH14">
      <text>
        <t xml:space="preserve">Note</t>
      </text>
    </comment>
    <comment authorId="0" ref="H15">
      <text>
        <t xml:space="preserve">Note</t>
      </text>
    </comment>
    <comment authorId="0" ref="AH15">
      <text>
        <t xml:space="preserve">Note</t>
      </text>
    </comment>
    <comment authorId="0" ref="H16">
      <text>
        <t xml:space="preserve">Note</t>
      </text>
    </comment>
    <comment authorId="0" ref="AH16">
      <text>
        <t xml:space="preserve">Note</t>
      </text>
    </comment>
    <comment authorId="0" ref="H17">
      <text>
        <t xml:space="preserve">Note</t>
      </text>
    </comment>
    <comment authorId="0" ref="AH17">
      <text>
        <t xml:space="preserve">Note</t>
      </text>
    </comment>
    <comment authorId="0" ref="H18">
      <text>
        <t xml:space="preserve">Note</t>
      </text>
    </comment>
    <comment authorId="0" ref="AH18">
      <text>
        <t xml:space="preserve">Note</t>
      </text>
    </comment>
    <comment authorId="0" ref="H19">
      <text>
        <t xml:space="preserve">Note</t>
      </text>
    </comment>
    <comment authorId="0" ref="AH19">
      <text>
        <t xml:space="preserve">Note</t>
      </text>
    </comment>
    <comment authorId="0" ref="H21">
      <text>
        <t xml:space="preserve">Note</t>
      </text>
    </comment>
    <comment authorId="0" ref="AH21">
      <text>
        <t xml:space="preserve">Note</t>
      </text>
    </comment>
    <comment authorId="0" ref="H22">
      <text>
        <t xml:space="preserve">Note</t>
      </text>
    </comment>
    <comment authorId="0" ref="AH22">
      <text>
        <t xml:space="preserve">Note</t>
      </text>
    </comment>
    <comment authorId="0" ref="H23">
      <text>
        <t xml:space="preserve">Note</t>
      </text>
    </comment>
    <comment authorId="0" ref="AH23">
      <text>
        <t xml:space="preserve">Note</t>
      </text>
    </comment>
    <comment authorId="0" ref="H24">
      <text>
        <t xml:space="preserve">Note</t>
      </text>
    </comment>
    <comment authorId="0" ref="AH24">
      <text>
        <t xml:space="preserve">Note</t>
      </text>
    </comment>
    <comment authorId="0" ref="H25">
      <text>
        <t xml:space="preserve">Note</t>
      </text>
    </comment>
    <comment authorId="0" ref="AH25">
      <text>
        <t xml:space="preserve">Note</t>
      </text>
    </comment>
    <comment authorId="0" ref="H26">
      <text>
        <t xml:space="preserve">Note</t>
      </text>
    </comment>
    <comment authorId="0" ref="AH26">
      <text>
        <t xml:space="preserve">Note</t>
      </text>
    </comment>
    <comment authorId="0" ref="H27">
      <text>
        <t xml:space="preserve">Note</t>
      </text>
    </comment>
    <comment authorId="0" ref="AH27">
      <text>
        <t xml:space="preserve">Note</t>
      </text>
    </comment>
    <comment authorId="0" ref="H28">
      <text>
        <t xml:space="preserve">Note</t>
      </text>
    </comment>
    <comment authorId="0" ref="AH28">
      <text>
        <t xml:space="preserve">Note</t>
      </text>
    </comment>
    <comment authorId="0" ref="H29">
      <text>
        <t xml:space="preserve">Note</t>
      </text>
    </comment>
    <comment authorId="0" ref="AH29">
      <text>
        <t xml:space="preserve">Note</t>
      </text>
    </comment>
    <comment authorId="0" ref="H30">
      <text>
        <t xml:space="preserve">Note</t>
      </text>
    </comment>
    <comment authorId="0" ref="AH30">
      <text>
        <t xml:space="preserve">Note</t>
      </text>
    </comment>
    <comment authorId="0" ref="H31">
      <text>
        <t xml:space="preserve">Note</t>
      </text>
    </comment>
    <comment authorId="0" ref="AH31">
      <text>
        <t xml:space="preserve">Note</t>
      </text>
    </comment>
    <comment authorId="0" ref="H32">
      <text>
        <t xml:space="preserve">Note</t>
      </text>
    </comment>
    <comment authorId="0" ref="AH32">
      <text>
        <t xml:space="preserve">Note</t>
      </text>
    </comment>
    <comment authorId="0" ref="H33">
      <text>
        <t xml:space="preserve">Note</t>
      </text>
    </comment>
    <comment authorId="0" ref="AH33">
      <text>
        <t xml:space="preserve">Note</t>
      </text>
    </comment>
    <comment authorId="0" ref="H34">
      <text>
        <t xml:space="preserve">Note</t>
      </text>
    </comment>
    <comment authorId="0" ref="AH34">
      <text>
        <t xml:space="preserve">Note</t>
      </text>
    </comment>
    <comment authorId="0" ref="H35">
      <text>
        <t xml:space="preserve">Note</t>
      </text>
    </comment>
    <comment authorId="0" ref="AH35">
      <text>
        <t xml:space="preserve">Note</t>
      </text>
    </comment>
    <comment authorId="0" ref="H36">
      <text>
        <t xml:space="preserve">Note</t>
      </text>
    </comment>
    <comment authorId="0" ref="AH36">
      <text>
        <t xml:space="preserve">Note</t>
      </text>
    </comment>
    <comment authorId="0" ref="H37">
      <text>
        <t xml:space="preserve">Note</t>
      </text>
    </comment>
    <comment authorId="0" ref="AH37">
      <text>
        <t xml:space="preserve">Note</t>
      </text>
    </comment>
    <comment authorId="0" ref="H38">
      <text>
        <t xml:space="preserve">Note</t>
      </text>
    </comment>
    <comment authorId="0" ref="AH38">
      <text>
        <t xml:space="preserve">Note</t>
      </text>
    </comment>
    <comment authorId="0" ref="H39">
      <text>
        <t xml:space="preserve">Note</t>
      </text>
    </comment>
    <comment authorId="0" ref="AH39">
      <text>
        <t xml:space="preserve">Note</t>
      </text>
    </comment>
    <comment authorId="0" ref="H40">
      <text>
        <t xml:space="preserve">Note</t>
      </text>
    </comment>
    <comment authorId="0" ref="AH40">
      <text>
        <t xml:space="preserve">Note</t>
      </text>
    </comment>
    <comment authorId="0" ref="H41">
      <text>
        <t xml:space="preserve">Note</t>
      </text>
    </comment>
    <comment authorId="0" ref="AH41">
      <text>
        <t xml:space="preserve">Note</t>
      </text>
    </comment>
    <comment authorId="0" ref="H42">
      <text>
        <t xml:space="preserve">Note</t>
      </text>
    </comment>
    <comment authorId="0" ref="AH42">
      <text>
        <t xml:space="preserve">Note</t>
      </text>
    </comment>
    <comment authorId="0" ref="H43">
      <text>
        <t xml:space="preserve">Note</t>
      </text>
    </comment>
    <comment authorId="0" ref="AH43">
      <text>
        <t xml:space="preserve">Note</t>
      </text>
    </comment>
    <comment authorId="0" ref="H44">
      <text>
        <t xml:space="preserve">Note</t>
      </text>
    </comment>
    <comment authorId="0" ref="AH44">
      <text>
        <t xml:space="preserve">Note</t>
      </text>
    </comment>
    <comment authorId="0" ref="H45">
      <text>
        <t xml:space="preserve">Note</t>
      </text>
    </comment>
    <comment authorId="0" ref="AH45">
      <text>
        <t xml:space="preserve">Note</t>
      </text>
    </comment>
    <comment authorId="0" ref="H46">
      <text>
        <t xml:space="preserve">Note</t>
      </text>
    </comment>
    <comment authorId="0" ref="AH46">
      <text>
        <t xml:space="preserve">Note</t>
      </text>
    </comment>
    <comment authorId="0" ref="H47">
      <text>
        <t xml:space="preserve">Note</t>
      </text>
    </comment>
    <comment authorId="0" ref="AH47">
      <text>
        <t xml:space="preserve">Note</t>
      </text>
    </comment>
    <comment authorId="0" ref="H48">
      <text>
        <t xml:space="preserve">Note</t>
      </text>
    </comment>
    <comment authorId="0" ref="AH48">
      <text>
        <t xml:space="preserve">Note</t>
      </text>
    </comment>
    <comment authorId="0" ref="H49">
      <text>
        <t xml:space="preserve">Note</t>
      </text>
    </comment>
    <comment authorId="0" ref="AH49">
      <text>
        <t xml:space="preserve">Note</t>
      </text>
    </comment>
    <comment authorId="0" ref="H50">
      <text>
        <t xml:space="preserve">Note</t>
      </text>
    </comment>
    <comment authorId="0" ref="AH50">
      <text>
        <t xml:space="preserve">Note</t>
      </text>
    </comment>
    <comment authorId="0" ref="H51">
      <text>
        <t xml:space="preserve">Note</t>
      </text>
    </comment>
    <comment authorId="0" ref="AH51">
      <text>
        <t xml:space="preserve">Note</t>
      </text>
    </comment>
    <comment authorId="0" ref="H52">
      <text>
        <t xml:space="preserve">Note</t>
      </text>
    </comment>
    <comment authorId="0" ref="AH52">
      <text>
        <t xml:space="preserve">Note</t>
      </text>
    </comment>
    <comment authorId="0" ref="H53">
      <text>
        <t xml:space="preserve">Note</t>
      </text>
    </comment>
    <comment authorId="0" ref="AH53">
      <text>
        <t xml:space="preserve">Note</t>
      </text>
    </comment>
    <comment authorId="0" ref="H54">
      <text>
        <t xml:space="preserve">Note</t>
      </text>
    </comment>
    <comment authorId="0" ref="AH54">
      <text>
        <t xml:space="preserve">Note</t>
      </text>
    </comment>
    <comment authorId="0" ref="H55">
      <text>
        <t xml:space="preserve">Note</t>
      </text>
    </comment>
    <comment authorId="0" ref="AH55">
      <text>
        <t xml:space="preserve">Note</t>
      </text>
    </comment>
    <comment authorId="0" ref="H56">
      <text>
        <t xml:space="preserve">Note</t>
      </text>
    </comment>
    <comment authorId="0" ref="AH56">
      <text>
        <t xml:space="preserve">Note</t>
      </text>
    </comment>
    <comment authorId="0" ref="H57">
      <text>
        <t xml:space="preserve">Note</t>
      </text>
    </comment>
    <comment authorId="0" ref="AH57">
      <text>
        <t xml:space="preserve">Note</t>
      </text>
    </comment>
    <comment authorId="0" ref="H58">
      <text>
        <t xml:space="preserve">Note</t>
      </text>
    </comment>
    <comment authorId="0" ref="AH58">
      <text>
        <t xml:space="preserve">Note</t>
      </text>
    </comment>
    <comment authorId="0" ref="H59">
      <text>
        <t xml:space="preserve">Note</t>
      </text>
    </comment>
    <comment authorId="0" ref="AH59">
      <text>
        <t xml:space="preserve">Note</t>
      </text>
    </comment>
    <comment authorId="0" ref="H60">
      <text>
        <t xml:space="preserve">Note</t>
      </text>
    </comment>
    <comment authorId="0" ref="AH60">
      <text>
        <t xml:space="preserve">Note</t>
      </text>
    </comment>
    <comment authorId="0" ref="H61">
      <text>
        <t xml:space="preserve">Note</t>
      </text>
    </comment>
    <comment authorId="0" ref="AH61">
      <text>
        <t xml:space="preserve">Note</t>
      </text>
    </comment>
    <comment authorId="0" ref="H62">
      <text>
        <t xml:space="preserve">Note</t>
      </text>
    </comment>
    <comment authorId="0" ref="AH62">
      <text>
        <t xml:space="preserve">Note
Kegiatan di undur setelah lebaran (dana sponsor belum turun)
tanggal menyusul</t>
      </text>
    </comment>
    <comment authorId="0" ref="H63">
      <text>
        <t xml:space="preserve">Note</t>
      </text>
    </comment>
    <comment authorId="0" ref="AH63">
      <text>
        <t xml:space="preserve">Note</t>
      </text>
    </comment>
    <comment authorId="0" ref="H65">
      <text>
        <t xml:space="preserve">Note</t>
      </text>
    </comment>
    <comment authorId="0" ref="AH65">
      <text>
        <t xml:space="preserve">Note</t>
      </text>
    </comment>
    <comment authorId="0" ref="H66">
      <text>
        <t xml:space="preserve">Note</t>
      </text>
    </comment>
    <comment authorId="0" ref="AH66">
      <text>
        <t xml:space="preserve">Note</t>
      </text>
    </comment>
    <comment authorId="0" ref="H67">
      <text>
        <t xml:space="preserve">Note</t>
      </text>
    </comment>
    <comment authorId="0" ref="AH67">
      <text>
        <t xml:space="preserve">Note</t>
      </text>
    </comment>
    <comment authorId="0" ref="H68">
      <text>
        <t xml:space="preserve">Note</t>
      </text>
    </comment>
    <comment authorId="0" ref="AH68">
      <text>
        <t xml:space="preserve">Note</t>
      </text>
    </comment>
    <comment authorId="0" ref="H69">
      <text>
        <t xml:space="preserve">Note</t>
      </text>
    </comment>
    <comment authorId="0" ref="AH69">
      <text>
        <t xml:space="preserve">Note</t>
      </text>
    </comment>
    <comment authorId="0" ref="H70">
      <text>
        <t xml:space="preserve">Note</t>
      </text>
    </comment>
    <comment authorId="0" ref="AH70">
      <text>
        <t xml:space="preserve">Note</t>
      </text>
    </comment>
    <comment authorId="0" ref="H71">
      <text>
        <t xml:space="preserve">Note</t>
      </text>
    </comment>
    <comment authorId="0" ref="AH71">
      <text>
        <t xml:space="preserve">Note</t>
      </text>
    </comment>
    <comment authorId="0" ref="H72">
      <text>
        <t xml:space="preserve">Note</t>
      </text>
    </comment>
    <comment authorId="0" ref="AH72">
      <text>
        <t xml:space="preserve">Note</t>
      </text>
    </comment>
    <comment authorId="0" ref="H73">
      <text>
        <t xml:space="preserve">Note</t>
      </text>
    </comment>
    <comment authorId="0" ref="AH73">
      <text>
        <t xml:space="preserve">Note</t>
      </text>
    </comment>
    <comment authorId="0" ref="H75">
      <text>
        <t xml:space="preserve">Note</t>
      </text>
    </comment>
    <comment authorId="0" ref="AH75">
      <text>
        <t xml:space="preserve">Note</t>
      </text>
    </comment>
    <comment authorId="0" ref="H76">
      <text>
        <t xml:space="preserve">Note</t>
      </text>
    </comment>
    <comment authorId="0" ref="AH76">
      <text>
        <t xml:space="preserve">Note</t>
      </text>
    </comment>
    <comment authorId="0" ref="H77">
      <text>
        <t xml:space="preserve">Note</t>
      </text>
    </comment>
    <comment authorId="0" ref="AH77">
      <text>
        <t xml:space="preserve">Note</t>
      </text>
    </comment>
    <comment authorId="0" ref="H78">
      <text>
        <t xml:space="preserve">Note</t>
      </text>
    </comment>
    <comment authorId="0" ref="AH78">
      <text>
        <t xml:space="preserve">Note</t>
      </text>
    </comment>
    <comment authorId="0" ref="H79">
      <text>
        <t xml:space="preserve">Note</t>
      </text>
    </comment>
    <comment authorId="0" ref="AH79">
      <text>
        <t xml:space="preserve">Note</t>
      </text>
    </comment>
    <comment authorId="0" ref="H80">
      <text>
        <t xml:space="preserve">Note</t>
      </text>
    </comment>
    <comment authorId="0" ref="AH80">
      <text>
        <t xml:space="preserve">Note</t>
      </text>
    </comment>
    <comment authorId="0" ref="H81">
      <text>
        <t xml:space="preserve">Note</t>
      </text>
    </comment>
    <comment authorId="0" ref="AH81">
      <text>
        <t xml:space="preserve">Note</t>
      </text>
    </comment>
    <comment authorId="0" ref="H82">
      <text>
        <t xml:space="preserve">Note</t>
      </text>
    </comment>
    <comment authorId="0" ref="AH82">
      <text>
        <t xml:space="preserve">Note</t>
      </text>
    </comment>
    <comment authorId="0" ref="H83">
      <text>
        <t xml:space="preserve">Note</t>
      </text>
    </comment>
    <comment authorId="0" ref="AH83">
      <text>
        <t xml:space="preserve">Note</t>
      </text>
    </comment>
    <comment authorId="0" ref="H84">
      <text>
        <t xml:space="preserve">Note</t>
      </text>
    </comment>
    <comment authorId="0" ref="H86">
      <text>
        <t xml:space="preserve">Note</t>
      </text>
    </comment>
    <comment authorId="0" ref="AH86">
      <text>
        <t xml:space="preserve">Note</t>
      </text>
    </comment>
    <comment authorId="0" ref="H87">
      <text>
        <t xml:space="preserve">Note</t>
      </text>
    </comment>
    <comment authorId="0" ref="AH87">
      <text>
        <t xml:space="preserve">Note</t>
      </text>
    </comment>
    <comment authorId="0" ref="H88">
      <text>
        <t xml:space="preserve">Note</t>
      </text>
    </comment>
    <comment authorId="0" ref="AH88">
      <text>
        <t xml:space="preserve">Note</t>
      </text>
    </comment>
    <comment authorId="0" ref="H89">
      <text>
        <t xml:space="preserve">Note</t>
      </text>
    </comment>
    <comment authorId="0" ref="AH89">
      <text>
        <t xml:space="preserve">Note</t>
      </text>
    </comment>
    <comment authorId="0" ref="H90">
      <text>
        <t xml:space="preserve">Note</t>
      </text>
    </comment>
    <comment authorId="0" ref="AH90">
      <text>
        <t xml:space="preserve">Note</t>
      </text>
    </comment>
    <comment authorId="0" ref="H91">
      <text>
        <t xml:space="preserve">Note</t>
      </text>
    </comment>
    <comment authorId="0" ref="AH91">
      <text>
        <t xml:space="preserve">Note</t>
      </text>
    </comment>
    <comment authorId="0" ref="H92">
      <text>
        <t xml:space="preserve">Note</t>
      </text>
    </comment>
    <comment authorId="0" ref="AH92">
      <text>
        <t xml:space="preserve">Note</t>
      </text>
    </comment>
    <comment authorId="0" ref="H93">
      <text>
        <t xml:space="preserve">Note</t>
      </text>
    </comment>
    <comment authorId="0" ref="AH93">
      <text>
        <t xml:space="preserve">Note</t>
      </text>
    </comment>
    <comment authorId="0" ref="H94">
      <text>
        <t xml:space="preserve">Note</t>
      </text>
    </comment>
    <comment authorId="0" ref="AH94">
      <text>
        <t xml:space="preserve">Note</t>
      </text>
    </comment>
    <comment authorId="0" ref="H95">
      <text>
        <t xml:space="preserve">Note</t>
      </text>
    </comment>
    <comment authorId="0" ref="AH95">
      <text>
        <t xml:space="preserve">Note</t>
      </text>
    </comment>
    <comment authorId="0" ref="H96">
      <text>
        <t xml:space="preserve">Note</t>
      </text>
    </comment>
    <comment authorId="0" ref="AH96">
      <text>
        <t xml:space="preserve">Note</t>
      </text>
    </comment>
    <comment authorId="0" ref="H98">
      <text>
        <t xml:space="preserve">Note</t>
      </text>
    </comment>
    <comment authorId="0" ref="AH98">
      <text>
        <t xml:space="preserve">Note</t>
      </text>
    </comment>
    <comment authorId="0" ref="H100">
      <text>
        <t xml:space="preserve">Note</t>
      </text>
    </comment>
    <comment authorId="0" ref="AH100">
      <text>
        <t xml:space="preserve">Note</t>
      </text>
    </comment>
    <comment authorId="0" ref="H102">
      <text>
        <t xml:space="preserve">Note</t>
      </text>
    </comment>
    <comment authorId="0" ref="H103">
      <text>
        <t xml:space="preserve">Note</t>
      </text>
    </comment>
    <comment authorId="0" ref="H104">
      <text>
        <t xml:space="preserve">Note</t>
      </text>
    </comment>
    <comment authorId="0" ref="H105">
      <text>
        <t xml:space="preserve">Note</t>
      </text>
    </comment>
    <comment authorId="0" ref="H106">
      <text>
        <t xml:space="preserve">Note</t>
      </text>
    </comment>
    <comment authorId="0" ref="AH106">
      <text>
        <t xml:space="preserve">Note</t>
      </text>
    </comment>
    <comment authorId="0" ref="H107">
      <text>
        <t xml:space="preserve">Note</t>
      </text>
    </comment>
    <comment authorId="0" ref="AH107">
      <text>
        <t xml:space="preserve">Note</t>
      </text>
    </comment>
    <comment authorId="0" ref="H108">
      <text>
        <t xml:space="preserve">Note</t>
      </text>
    </comment>
    <comment authorId="0" ref="H109">
      <text>
        <t xml:space="preserve">Note</t>
      </text>
    </comment>
    <comment authorId="0" ref="H110">
      <text>
        <t xml:space="preserve">Note</t>
      </text>
    </comment>
    <comment authorId="0" ref="AH110">
      <text>
        <t xml:space="preserve">Note</t>
      </text>
    </comment>
    <comment authorId="0" ref="H111">
      <text>
        <t xml:space="preserve">Note</t>
      </text>
    </comment>
    <comment authorId="0" ref="AH111">
      <text>
        <t xml:space="preserve">Note</t>
      </text>
    </comment>
    <comment authorId="0" ref="H112">
      <text>
        <t xml:space="preserve">Note</t>
      </text>
    </comment>
    <comment authorId="0" ref="AH112">
      <text>
        <t xml:space="preserve">Note</t>
      </text>
    </comment>
    <comment authorId="0" ref="H113">
      <text>
        <t xml:space="preserve">Note</t>
      </text>
    </comment>
    <comment authorId="0" ref="H114">
      <text>
        <t xml:space="preserve">Note</t>
      </text>
    </comment>
    <comment authorId="0" ref="AH114">
      <text>
        <t xml:space="preserve">Note</t>
      </text>
    </comment>
    <comment authorId="0" ref="H115">
      <text>
        <t xml:space="preserve">Note</t>
      </text>
    </comment>
    <comment authorId="0" ref="AH115">
      <text>
        <t xml:space="preserve">Note</t>
      </text>
    </comment>
    <comment authorId="0" ref="H116">
      <text>
        <t xml:space="preserve">Note</t>
      </text>
    </comment>
    <comment authorId="0" ref="AH116">
      <text>
        <t xml:space="preserve">Note</t>
      </text>
    </comment>
    <comment authorId="0" ref="H117">
      <text>
        <t xml:space="preserve">Note</t>
      </text>
    </comment>
    <comment authorId="0" ref="H118">
      <text>
        <t xml:space="preserve">Note</t>
      </text>
    </comment>
    <comment authorId="0" ref="H119">
      <text>
        <t xml:space="preserve">Note</t>
      </text>
    </comment>
    <comment authorId="0" ref="AH119">
      <text>
        <t xml:space="preserve">Note</t>
      </text>
    </comment>
    <comment authorId="0" ref="H120">
      <text>
        <t xml:space="preserve">Note</t>
      </text>
    </comment>
    <comment authorId="0" ref="H121">
      <text>
        <t xml:space="preserve">Note</t>
      </text>
    </comment>
    <comment authorId="0" ref="AH121">
      <text>
        <t xml:space="preserve">Note</t>
      </text>
    </comment>
    <comment authorId="0" ref="H122">
      <text>
        <t xml:space="preserve">Note</t>
      </text>
    </comment>
    <comment authorId="0" ref="H123">
      <text>
        <t xml:space="preserve">Note</t>
      </text>
    </comment>
    <comment authorId="0" ref="H124">
      <text>
        <t xml:space="preserve">Note</t>
      </text>
    </comment>
    <comment authorId="0" ref="H125">
      <text>
        <t xml:space="preserve">Note</t>
      </text>
    </comment>
    <comment authorId="0" ref="AH125">
      <text>
        <t xml:space="preserve">Note</t>
      </text>
    </comment>
    <comment authorId="0" ref="H126">
      <text>
        <t xml:space="preserve">Note</t>
      </text>
    </comment>
    <comment authorId="0" ref="AH126">
      <text>
        <t xml:space="preserve">Note</t>
      </text>
    </comment>
    <comment authorId="0" ref="H127">
      <text>
        <t xml:space="preserve">Note</t>
      </text>
    </comment>
    <comment authorId="0" ref="AH127">
      <text>
        <t xml:space="preserve">Note</t>
      </text>
    </comment>
    <comment authorId="0" ref="H128">
      <text>
        <t xml:space="preserve">Note</t>
      </text>
    </comment>
    <comment authorId="0" ref="AH128">
      <text>
        <t xml:space="preserve">Note</t>
      </text>
    </comment>
    <comment authorId="0" ref="H129">
      <text>
        <t xml:space="preserve">Note</t>
      </text>
    </comment>
    <comment authorId="0" ref="H130">
      <text>
        <t xml:space="preserve">Note</t>
      </text>
    </comment>
    <comment authorId="0" ref="H131">
      <text>
        <t xml:space="preserve">Note</t>
      </text>
    </comment>
    <comment authorId="0" ref="AH131">
      <text>
        <t xml:space="preserve">Note</t>
      </text>
    </comment>
    <comment authorId="0" ref="H132">
      <text>
        <t xml:space="preserve">Note</t>
      </text>
    </comment>
    <comment authorId="0" ref="AH132">
      <text>
        <t xml:space="preserve">Note</t>
      </text>
    </comment>
    <comment authorId="0" ref="H133">
      <text>
        <t xml:space="preserve">Note</t>
      </text>
    </comment>
    <comment authorId="0" ref="AH133">
      <text>
        <t xml:space="preserve">Note</t>
      </text>
    </comment>
    <comment authorId="0" ref="H134">
      <text>
        <t xml:space="preserve">Note</t>
      </text>
    </comment>
    <comment authorId="0" ref="AH134">
      <text>
        <t xml:space="preserve">Note</t>
      </text>
    </comment>
    <comment authorId="0" ref="H135">
      <text>
        <t xml:space="preserve">Note</t>
      </text>
    </comment>
    <comment authorId="0" ref="AH135">
      <text>
        <t xml:space="preserve">Note</t>
      </text>
    </comment>
    <comment authorId="0" ref="H136">
      <text>
        <t xml:space="preserve">Note</t>
      </text>
    </comment>
    <comment authorId="0" ref="H137">
      <text>
        <t xml:space="preserve">Note</t>
      </text>
    </comment>
    <comment authorId="0" ref="AH137">
      <text>
        <t xml:space="preserve">Note</t>
      </text>
    </comment>
    <comment authorId="0" ref="H138">
      <text>
        <t xml:space="preserve">Note</t>
      </text>
    </comment>
    <comment authorId="0" ref="AH138">
      <text>
        <t xml:space="preserve">Note</t>
      </text>
    </comment>
    <comment authorId="0" ref="H139">
      <text>
        <t xml:space="preserve">Note</t>
      </text>
    </comment>
    <comment authorId="0" ref="AH139">
      <text>
        <t xml:space="preserve">Note</t>
      </text>
    </comment>
    <comment authorId="0" ref="H140">
      <text>
        <t xml:space="preserve">Note</t>
      </text>
    </comment>
    <comment authorId="0" ref="AH140">
      <text>
        <t xml:space="preserve">Note</t>
      </text>
    </comment>
    <comment authorId="0" ref="H141">
      <text>
        <t xml:space="preserve">Note</t>
      </text>
    </comment>
    <comment authorId="0" ref="AH141">
      <text>
        <t xml:space="preserve">Note</t>
      </text>
    </comment>
    <comment authorId="0" ref="H142">
      <text>
        <t xml:space="preserve">Note</t>
      </text>
    </comment>
    <comment authorId="0" ref="AH142">
      <text>
        <t xml:space="preserve">Note</t>
      </text>
    </comment>
    <comment authorId="0" ref="H144">
      <text>
        <t xml:space="preserve">Note</t>
      </text>
    </comment>
    <comment authorId="0" ref="H145">
      <text>
        <t xml:space="preserve">Note</t>
      </text>
    </comment>
    <comment authorId="0" ref="AH145">
      <text>
        <t xml:space="preserve">Note</t>
      </text>
    </comment>
    <comment authorId="0" ref="H146">
      <text>
        <t xml:space="preserve">Note</t>
      </text>
    </comment>
    <comment authorId="0" ref="AH146">
      <text>
        <t xml:space="preserve">Note</t>
      </text>
    </comment>
    <comment authorId="0" ref="H147">
      <text>
        <t xml:space="preserve">Note</t>
      </text>
    </comment>
    <comment authorId="0" ref="AH147">
      <text>
        <t xml:space="preserve">Note</t>
      </text>
    </comment>
    <comment authorId="0" ref="H148">
      <text>
        <t xml:space="preserve">Note</t>
      </text>
    </comment>
    <comment authorId="0" ref="AH148">
      <text>
        <t xml:space="preserve">Note</t>
      </text>
    </comment>
    <comment authorId="0" ref="H149">
      <text>
        <t xml:space="preserve">Note</t>
      </text>
    </comment>
    <comment authorId="0" ref="H150">
      <text>
        <t xml:space="preserve">Note</t>
      </text>
    </comment>
    <comment authorId="0" ref="AH150">
      <text>
        <t xml:space="preserve">Note</t>
      </text>
    </comment>
    <comment authorId="0" ref="H151">
      <text>
        <t xml:space="preserve">Note</t>
      </text>
    </comment>
    <comment authorId="0" ref="H152">
      <text>
        <t xml:space="preserve">Note</t>
      </text>
    </comment>
    <comment authorId="0" ref="AH152">
      <text>
        <t xml:space="preserve">Note</t>
      </text>
    </comment>
    <comment authorId="0" ref="H153">
      <text>
        <t xml:space="preserve">Note</t>
      </text>
    </comment>
    <comment authorId="0" ref="H154">
      <text>
        <t xml:space="preserve">Note</t>
      </text>
    </comment>
    <comment authorId="0" ref="H155">
      <text>
        <t xml:space="preserve">Note</t>
      </text>
    </comment>
    <comment authorId="0" ref="H156">
      <text>
        <t xml:space="preserve">Note</t>
      </text>
    </comment>
    <comment authorId="0" ref="AH156">
      <text>
        <t xml:space="preserve">Note</t>
      </text>
    </comment>
    <comment authorId="0" ref="H157">
      <text>
        <t xml:space="preserve">Note</t>
      </text>
    </comment>
    <comment authorId="0" ref="H158">
      <text>
        <t xml:space="preserve">Note</t>
      </text>
    </comment>
    <comment authorId="0" ref="AH158">
      <text>
        <t xml:space="preserve">Note</t>
      </text>
    </comment>
    <comment authorId="0" ref="H159">
      <text>
        <t xml:space="preserve">Note</t>
      </text>
    </comment>
    <comment authorId="0" ref="H160">
      <text>
        <t xml:space="preserve">Note</t>
      </text>
    </comment>
    <comment authorId="0" ref="AH160">
      <text>
        <t xml:space="preserve">Note</t>
      </text>
    </comment>
    <comment authorId="0" ref="H161">
      <text>
        <t xml:space="preserve">Note</t>
      </text>
    </comment>
    <comment authorId="0" ref="H162">
      <text>
        <t xml:space="preserve">Note</t>
      </text>
    </comment>
    <comment authorId="0" ref="AH162">
      <text>
        <t xml:space="preserve">Note</t>
      </text>
    </comment>
    <comment authorId="0" ref="H163">
      <text>
        <t xml:space="preserve">Note</t>
      </text>
    </comment>
    <comment authorId="0" ref="H164">
      <text>
        <t xml:space="preserve">Note</t>
      </text>
    </comment>
    <comment authorId="0" ref="AH164">
      <text>
        <t xml:space="preserve">Note</t>
      </text>
    </comment>
    <comment authorId="0" ref="H165">
      <text>
        <t xml:space="preserve">Note</t>
      </text>
    </comment>
    <comment authorId="0" ref="AH165">
      <text>
        <t xml:space="preserve">Note</t>
      </text>
    </comment>
    <comment authorId="0" ref="H166">
      <text>
        <t xml:space="preserve">Note</t>
      </text>
    </comment>
    <comment authorId="0" ref="H167">
      <text>
        <t xml:space="preserve">Note</t>
      </text>
    </comment>
    <comment authorId="0" ref="AH167">
      <text>
        <t xml:space="preserve">Note</t>
      </text>
    </comment>
    <comment authorId="0" ref="H168">
      <text>
        <t xml:space="preserve">Note</t>
      </text>
    </comment>
    <comment authorId="0" ref="H169">
      <text>
        <t xml:space="preserve">Note</t>
      </text>
    </comment>
    <comment authorId="0" ref="AH169">
      <text>
        <t xml:space="preserve">Note</t>
      </text>
    </comment>
    <comment authorId="0" ref="H170">
      <text>
        <t xml:space="preserve">Note</t>
      </text>
    </comment>
    <comment authorId="0" ref="H171">
      <text>
        <t xml:space="preserve">Note</t>
      </text>
    </comment>
    <comment authorId="0" ref="AH171">
      <text>
        <t xml:space="preserve">Note</t>
      </text>
    </comment>
    <comment authorId="0" ref="H172">
      <text>
        <t xml:space="preserve">Note</t>
      </text>
    </comment>
    <comment authorId="0" ref="H173">
      <text>
        <t xml:space="preserve">Note</t>
      </text>
    </comment>
    <comment authorId="0" ref="AH173">
      <text>
        <t xml:space="preserve">Note</t>
      </text>
    </comment>
    <comment authorId="0" ref="H174">
      <text>
        <t xml:space="preserve">Note</t>
      </text>
    </comment>
    <comment authorId="0" ref="AH174">
      <text>
        <t xml:space="preserve">Note</t>
      </text>
    </comment>
    <comment authorId="0" ref="H175">
      <text>
        <t xml:space="preserve">Note</t>
      </text>
    </comment>
    <comment authorId="0" ref="AH175">
      <text>
        <t xml:space="preserve">Note</t>
      </text>
    </comment>
    <comment authorId="0" ref="H176">
      <text>
        <t xml:space="preserve">Note</t>
      </text>
    </comment>
    <comment authorId="0" ref="AH176">
      <text>
        <t xml:space="preserve">Note</t>
      </text>
    </comment>
    <comment authorId="0" ref="H177">
      <text>
        <t xml:space="preserve">Note</t>
      </text>
    </comment>
    <comment authorId="0" ref="AH177">
      <text>
        <t xml:space="preserve">Note</t>
      </text>
    </comment>
    <comment authorId="0" ref="H178">
      <text>
        <t xml:space="preserve">Note</t>
      </text>
    </comment>
    <comment authorId="0" ref="H179">
      <text>
        <t xml:space="preserve">Note</t>
      </text>
    </comment>
    <comment authorId="0" ref="H181">
      <text>
        <t xml:space="preserve">Note</t>
      </text>
    </comment>
    <comment authorId="0" ref="AH181">
      <text>
        <t xml:space="preserve">Note</t>
      </text>
    </comment>
    <comment authorId="0" ref="H182">
      <text>
        <t xml:space="preserve">Note</t>
      </text>
    </comment>
    <comment authorId="0" ref="AH182">
      <text>
        <t xml:space="preserve">Note</t>
      </text>
    </comment>
    <comment authorId="0" ref="H183">
      <text>
        <t xml:space="preserve">Note</t>
      </text>
    </comment>
    <comment authorId="0" ref="H186">
      <text>
        <t xml:space="preserve">Note</t>
      </text>
    </comment>
    <comment authorId="0" ref="H187">
      <text>
        <t xml:space="preserve">Note</t>
      </text>
    </comment>
    <comment authorId="0" ref="AH187">
      <text>
        <t xml:space="preserve">Note</t>
      </text>
    </comment>
    <comment authorId="0" ref="H188">
      <text>
        <t xml:space="preserve">Note</t>
      </text>
    </comment>
    <comment authorId="0" ref="AH188">
      <text>
        <t xml:space="preserve">Note</t>
      </text>
    </comment>
    <comment authorId="0" ref="H189">
      <text>
        <t xml:space="preserve">Note</t>
      </text>
    </comment>
    <comment authorId="0" ref="AH189">
      <text>
        <t xml:space="preserve">Note</t>
      </text>
    </comment>
    <comment authorId="0" ref="H193">
      <text>
        <t xml:space="preserve">Note</t>
      </text>
    </comment>
    <comment authorId="0" ref="H194">
      <text>
        <t xml:space="preserve">Note</t>
      </text>
    </comment>
    <comment authorId="0" ref="AH194">
      <text>
        <t xml:space="preserve">Note</t>
      </text>
    </comment>
    <comment authorId="0" ref="H195">
      <text>
        <t xml:space="preserve">Note</t>
      </text>
    </comment>
    <comment authorId="0" ref="AH195">
      <text>
        <t xml:space="preserve">Note</t>
      </text>
    </comment>
    <comment authorId="0" ref="H196">
      <text>
        <t xml:space="preserve">Note</t>
      </text>
    </comment>
    <comment authorId="0" ref="AH196">
      <text>
        <t xml:space="preserve">Note</t>
      </text>
    </comment>
    <comment authorId="0" ref="H198">
      <text>
        <t xml:space="preserve">Note</t>
      </text>
    </comment>
    <comment authorId="0" ref="AH198">
      <text>
        <t xml:space="preserve">Note</t>
      </text>
    </comment>
    <comment authorId="0" ref="H199">
      <text>
        <t xml:space="preserve">Note</t>
      </text>
    </comment>
    <comment authorId="0" ref="AH199">
      <text>
        <t xml:space="preserve">Note</t>
      </text>
    </comment>
    <comment authorId="0" ref="H201">
      <text>
        <t xml:space="preserve">Note</t>
      </text>
    </comment>
    <comment authorId="0" ref="AH201">
      <text>
        <t xml:space="preserve">Note</t>
      </text>
    </comment>
    <comment authorId="0" ref="H202">
      <text>
        <t xml:space="preserve">Note</t>
      </text>
    </comment>
    <comment authorId="0" ref="H203">
      <text>
        <t xml:space="preserve">Note</t>
      </text>
    </comment>
    <comment authorId="0" ref="AH203">
      <text>
        <t xml:space="preserve">Note</t>
      </text>
    </comment>
    <comment authorId="0" ref="H204">
      <text>
        <t xml:space="preserve">Note</t>
      </text>
    </comment>
    <comment authorId="0" ref="AH204">
      <text>
        <t xml:space="preserve">Note</t>
      </text>
    </comment>
    <comment authorId="0" ref="H206">
      <text>
        <t xml:space="preserve">Note</t>
      </text>
    </comment>
    <comment authorId="0" ref="AH206">
      <text>
        <t xml:space="preserve">Note</t>
      </text>
    </comment>
    <comment authorId="0" ref="H208">
      <text>
        <t xml:space="preserve">Note</t>
      </text>
    </comment>
    <comment authorId="0" ref="AH208">
      <text>
        <t xml:space="preserve">Note</t>
      </text>
    </comment>
    <comment authorId="0" ref="H209">
      <text>
        <t xml:space="preserve">Note</t>
      </text>
    </comment>
    <comment authorId="0" ref="AH209">
      <text>
        <t xml:space="preserve">Note</t>
      </text>
    </comment>
    <comment authorId="0" ref="H210">
      <text>
        <t xml:space="preserve">Note</t>
      </text>
    </comment>
    <comment authorId="0" ref="AH210">
      <text>
        <t xml:space="preserve">Note</t>
      </text>
    </comment>
    <comment authorId="0" ref="H211">
      <text>
        <t xml:space="preserve">Note</t>
      </text>
    </comment>
    <comment authorId="0" ref="AH211">
      <text>
        <t xml:space="preserve">Note</t>
      </text>
    </comment>
    <comment authorId="0" ref="H212">
      <text>
        <t xml:space="preserve">Note</t>
      </text>
    </comment>
    <comment authorId="0" ref="AH212">
      <text>
        <t xml:space="preserve">Note</t>
      </text>
    </comment>
    <comment authorId="0" ref="H213">
      <text>
        <t xml:space="preserve">Note</t>
      </text>
    </comment>
    <comment authorId="0" ref="AH213">
      <text>
        <t xml:space="preserve">Note</t>
      </text>
    </comment>
    <comment authorId="0" ref="H215">
      <text>
        <t xml:space="preserve">Note</t>
      </text>
    </comment>
    <comment authorId="0" ref="AH215">
      <text>
        <t xml:space="preserve">Note</t>
      </text>
    </comment>
    <comment authorId="0" ref="H216">
      <text>
        <t xml:space="preserve">Note</t>
      </text>
    </comment>
    <comment authorId="0" ref="AH216">
      <text>
        <t xml:space="preserve">Note</t>
      </text>
    </comment>
    <comment authorId="0" ref="H218">
      <text>
        <t xml:space="preserve">Note</t>
      </text>
    </comment>
    <comment authorId="0" ref="AH218">
      <text>
        <t xml:space="preserve">Note</t>
      </text>
    </comment>
    <comment authorId="0" ref="H219">
      <text>
        <t xml:space="preserve">Note</t>
      </text>
    </comment>
    <comment authorId="0" ref="AH219">
      <text>
        <t xml:space="preserve">Note</t>
      </text>
    </comment>
    <comment authorId="0" ref="H222">
      <text>
        <t xml:space="preserve">Note</t>
      </text>
    </comment>
    <comment authorId="0" ref="H223">
      <text>
        <t xml:space="preserve">Note</t>
      </text>
    </comment>
    <comment authorId="0" ref="H224">
      <text>
        <t xml:space="preserve">Note</t>
      </text>
    </comment>
    <comment authorId="0" ref="H225">
      <text>
        <t xml:space="preserve">Note</t>
      </text>
    </comment>
    <comment authorId="0" ref="AH225">
      <text>
        <t xml:space="preserve">Note</t>
      </text>
    </comment>
    <comment authorId="0" ref="H227">
      <text>
        <t xml:space="preserve">Note</t>
      </text>
    </comment>
    <comment authorId="0" ref="AH227">
      <text>
        <t xml:space="preserve">Note</t>
      </text>
    </comment>
    <comment authorId="0" ref="H228">
      <text>
        <t xml:space="preserve">Note</t>
      </text>
    </comment>
    <comment authorId="0" ref="AH228">
      <text>
        <t xml:space="preserve">Note</t>
      </text>
    </comment>
    <comment authorId="0" ref="H231">
      <text>
        <t xml:space="preserve">Note</t>
      </text>
    </comment>
    <comment authorId="0" ref="AH231">
      <text>
        <t xml:space="preserve">Note</t>
      </text>
    </comment>
    <comment authorId="0" ref="H232">
      <text>
        <t xml:space="preserve">Note</t>
      </text>
    </comment>
    <comment authorId="0" ref="AH232">
      <text>
        <t xml:space="preserve">Note</t>
      </text>
    </comment>
    <comment authorId="0" ref="H233">
      <text>
        <t xml:space="preserve">Note</t>
      </text>
    </comment>
    <comment authorId="0" ref="H235">
      <text>
        <t xml:space="preserve">Note</t>
      </text>
    </comment>
    <comment authorId="0" ref="AH235">
      <text>
        <t xml:space="preserve">Note</t>
      </text>
    </comment>
    <comment authorId="0" ref="H236">
      <text>
        <t xml:space="preserve">Note</t>
      </text>
    </comment>
    <comment authorId="0" ref="AH236">
      <text>
        <t xml:space="preserve">Note</t>
      </text>
    </comment>
    <comment authorId="0" ref="H237">
      <text>
        <t xml:space="preserve">Note</t>
      </text>
    </comment>
    <comment authorId="0" ref="AH237">
      <text>
        <t xml:space="preserve">Note</t>
      </text>
    </comment>
    <comment authorId="0" ref="AH238">
      <text>
        <t xml:space="preserve">Note</t>
      </text>
    </comment>
    <comment authorId="0" ref="H239">
      <text>
        <t xml:space="preserve">Note</t>
      </text>
    </comment>
    <comment authorId="0" ref="AH239">
      <text>
        <t xml:space="preserve">Note</t>
      </text>
    </comment>
    <comment authorId="0" ref="H240">
      <text>
        <t xml:space="preserve">Note</t>
      </text>
    </comment>
    <comment authorId="0" ref="H242">
      <text>
        <t xml:space="preserve">Note</t>
      </text>
    </comment>
    <comment authorId="0" ref="AH242">
      <text>
        <t xml:space="preserve">Note</t>
      </text>
    </comment>
    <comment authorId="0" ref="H243">
      <text>
        <t xml:space="preserve">Note</t>
      </text>
    </comment>
    <comment authorId="0" ref="AH243">
      <text>
        <t xml:space="preserve">Note</t>
      </text>
    </comment>
    <comment authorId="0" ref="H244">
      <text>
        <t xml:space="preserve">Note</t>
      </text>
    </comment>
    <comment authorId="0" ref="AH244">
      <text>
        <t xml:space="preserve">Note</t>
      </text>
    </comment>
    <comment authorId="0" ref="H246">
      <text>
        <t xml:space="preserve">Note</t>
      </text>
    </comment>
    <comment authorId="0" ref="H247">
      <text>
        <t xml:space="preserve">Note</t>
      </text>
    </comment>
    <comment authorId="0" ref="H248">
      <text>
        <t xml:space="preserve">Note</t>
      </text>
    </comment>
    <comment authorId="0" ref="AH248">
      <text>
        <t xml:space="preserve">Note</t>
      </text>
    </comment>
    <comment authorId="0" ref="H249">
      <text>
        <t xml:space="preserve">Note</t>
      </text>
    </comment>
    <comment authorId="0" ref="AH249">
      <text>
        <t xml:space="preserve">Note</t>
      </text>
    </comment>
    <comment authorId="0" ref="H250">
      <text>
        <t xml:space="preserve">Note</t>
      </text>
    </comment>
    <comment authorId="0" ref="AH250">
      <text>
        <t xml:space="preserve">Note</t>
      </text>
    </comment>
    <comment authorId="0" ref="H251">
      <text>
        <t xml:space="preserve">Note</t>
      </text>
    </comment>
    <comment authorId="0" ref="AH251">
      <text>
        <t xml:space="preserve">Note</t>
      </text>
    </comment>
    <comment authorId="0" ref="H252">
      <text>
        <t xml:space="preserve">Note</t>
      </text>
    </comment>
    <comment authorId="0" ref="AH252">
      <text>
        <t xml:space="preserve">Note</t>
      </text>
    </comment>
    <comment authorId="0" ref="H254">
      <text>
        <t xml:space="preserve">Note</t>
      </text>
    </comment>
    <comment authorId="0" ref="H255">
      <text>
        <t xml:space="preserve">Note</t>
      </text>
    </comment>
    <comment authorId="0" ref="AH255">
      <text>
        <t xml:space="preserve">Note</t>
      </text>
    </comment>
    <comment authorId="0" ref="H256">
      <text>
        <t xml:space="preserve">Note</t>
      </text>
    </comment>
    <comment authorId="0" ref="AH256">
      <text>
        <t xml:space="preserve">Note</t>
      </text>
    </comment>
    <comment authorId="0" ref="H257">
      <text>
        <t xml:space="preserve">Note</t>
      </text>
    </comment>
    <comment authorId="0" ref="AH257">
      <text>
        <t xml:space="preserve">Note</t>
      </text>
    </comment>
    <comment authorId="0" ref="H259">
      <text>
        <t xml:space="preserve">Note</t>
      </text>
    </comment>
    <comment authorId="0" ref="AH259">
      <text>
        <t xml:space="preserve">Note</t>
      </text>
    </comment>
    <comment authorId="0" ref="H260">
      <text>
        <t xml:space="preserve">Note</t>
      </text>
    </comment>
    <comment authorId="0" ref="AH260">
      <text>
        <t xml:space="preserve">Note</t>
      </text>
    </comment>
    <comment authorId="0" ref="H261">
      <text>
        <t xml:space="preserve">Note</t>
      </text>
    </comment>
    <comment authorId="0" ref="AH261">
      <text>
        <t xml:space="preserve">Note</t>
      </text>
    </comment>
    <comment authorId="0" ref="H262">
      <text>
        <t xml:space="preserve">Note</t>
      </text>
    </comment>
    <comment authorId="0" ref="H263">
      <text>
        <t xml:space="preserve">Note</t>
      </text>
    </comment>
    <comment authorId="0" ref="AH263">
      <text>
        <t xml:space="preserve">Note</t>
      </text>
    </comment>
    <comment authorId="0" ref="H264">
      <text>
        <t xml:space="preserve">Note</t>
      </text>
    </comment>
    <comment authorId="0" ref="AH264">
      <text>
        <t xml:space="preserve">Note</t>
      </text>
    </comment>
    <comment authorId="0" ref="H265">
      <text>
        <t xml:space="preserve">Note</t>
      </text>
    </comment>
    <comment authorId="0" ref="AH265">
      <text>
        <t xml:space="preserve">Note</t>
      </text>
    </comment>
    <comment authorId="0" ref="H266">
      <text>
        <t xml:space="preserve">Note</t>
      </text>
    </comment>
    <comment authorId="0" ref="AH266">
      <text>
        <t xml:space="preserve">Note</t>
      </text>
    </comment>
    <comment authorId="0" ref="H267">
      <text>
        <t xml:space="preserve">Note</t>
      </text>
    </comment>
    <comment authorId="0" ref="AH267">
      <text>
        <t xml:space="preserve">Note</t>
      </text>
    </comment>
    <comment authorId="0" ref="H268">
      <text>
        <t xml:space="preserve">Note</t>
      </text>
    </comment>
    <comment authorId="0" ref="AH268">
      <text>
        <t xml:space="preserve">Note</t>
      </text>
    </comment>
    <comment authorId="0" ref="H269">
      <text>
        <t xml:space="preserve">Note</t>
      </text>
    </comment>
    <comment authorId="0" ref="AH269">
      <text>
        <t xml:space="preserve">Note</t>
      </text>
    </comment>
    <comment authorId="1" xr:uid="{96c207e8-f748-4bbf-b64d-107674aed11f}" ref="S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Tanggal nya Ga Otomatis
</t>
      </text>
    </comment>
    <comment authorId="2" xr:uid="{b18b1b53-398e-4270-a1f7-84e78e9fc238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Bikin Section OS Dan LS. Biar ketaun aproject siapanya
</t>
      </text>
    </comment>
  </commentList>
</comments>
</file>

<file path=xl/sharedStrings.xml><?xml version="1.0" encoding="utf-8"?>
<sst xmlns="http://schemas.openxmlformats.org/spreadsheetml/2006/main" count="4651" uniqueCount="1293">
  <si>
    <t>STANDAR OPERASIONAL PROSEDUR</t>
  </si>
  <si>
    <t>JUDUL</t>
  </si>
  <si>
    <t>SOP Project Workflow One Spirit Asia</t>
  </si>
  <si>
    <t>DEPARTEMEN</t>
  </si>
  <si>
    <t>ALL DEPT</t>
  </si>
  <si>
    <t>NO DOKUMEN</t>
  </si>
  <si>
    <t>SOP.OSA.08.IX.2025</t>
  </si>
  <si>
    <t>TANGGAL PEMBUATAN</t>
  </si>
  <si>
    <t>TANGGAL PERUBAHAN</t>
  </si>
  <si>
    <t>Rev:</t>
  </si>
  <si>
    <t>1. Tujuan</t>
  </si>
  <si>
    <t>Menetapkan alur kerja standar project dari tahap inquiry sampai closing agar seluruh proses tercatat, terdokumentasi, dan terkendali dengan baik sehingga meminimalisir kesalahan, meningkatkan efisiensi, serta memastikan kualitas layanan kepada klien.</t>
  </si>
  <si>
    <t>2. Ruang Lingkup</t>
  </si>
  <si>
    <t>SOP ini berlaku untuk seluruh project event yang ditangani One Spirit Asia, mencakup divisi:
&gt; Sales &amp; Marketing
&gt; Program &amp; Project
&gt; Finance &amp; Administration
&gt; Production &amp; Technical
&gt; Documentation</t>
  </si>
  <si>
    <t>3. Definisi</t>
  </si>
  <si>
    <t>&gt; Inquiry: Permintaan awal atau ketertarikan klien terhadap layanan event.
&gt; Workflow: Alur kerja standar yang harus diikuti dari awal hingga akhir project.
&gt; Milestone: Tahapan penting yang menjadi penanda progres project.</t>
  </si>
  <si>
    <t>4. Pihak Bertanggung Jawab</t>
  </si>
  <si>
    <t>&gt; Sales &amp; Marketing (SM) → menerima inquiry, input data klien, koordinasi awal.
&gt; Project Manager (PM) → memastikan workflow dijalankan sesuai SOP.
&gt; Finance &amp; Admin (FA) → mengelola anggaran, invoice, pembayaran.
&gt; Program/Creative → membuat konsep &amp; proposal.
&gt; Production/Technical → memastikan kebutuhan teknis event.
&gt; Documentation → mengelola hasil dokumentasi (foto, video, teaser).</t>
  </si>
  <si>
    <t>5. Prosedur Pelaksanaan</t>
  </si>
  <si>
    <r>
      <rPr>
        <rFont val="Arial"/>
        <b/>
        <color theme="1"/>
        <sz val="9.0"/>
      </rPr>
      <t>A. Inquiry &amp; MOM</t>
    </r>
    <r>
      <rPr>
        <rFont val="Arial"/>
        <color theme="1"/>
        <sz val="9.0"/>
      </rPr>
      <t xml:space="preserve">
&gt; Sales menerima inquiry klien melalui kanal resmi (email, WhatsApp, website, referral).
&gt; Sales mengisi kolom Inquiry pada Project Workflow (tanggal, nama klien, PIC, kebutuhan awal).
&gt; Sales membuat Minutes of Meeting (MOM) jika ada meeting awal, lalu upload ke folder project.
</t>
    </r>
    <r>
      <rPr>
        <rFont val="Arial"/>
        <b/>
        <color theme="1"/>
        <sz val="9.0"/>
      </rPr>
      <t>B. Customer Detail</t>
    </r>
    <r>
      <rPr>
        <rFont val="Arial"/>
        <color theme="1"/>
        <sz val="9.0"/>
      </rPr>
      <t xml:space="preserve">
&gt; Data lengkap klien diisi di kolom Customer Detail (nama project, kategori, CP, email, nomor HP).
&gt; Sales wajib memastikan data ini lengkap sebelum masuk tahap program.
</t>
    </r>
    <r>
      <rPr>
        <rFont val="Arial"/>
        <b/>
        <color theme="1"/>
        <sz val="9.0"/>
      </rPr>
      <t>C. Program Detail</t>
    </r>
    <r>
      <rPr>
        <rFont val="Arial"/>
        <color theme="1"/>
        <sz val="9.0"/>
      </rPr>
      <t xml:space="preserve">
&gt; Program/Creative membuat konsep &amp; proposal sesuai kebutuhan klien.
&gt; PM mengisi kategori event, program, venue, tanggal mulai &amp; selesai.
&gt; Draft proposal dilampirkan di folder project, link dicatat di kolom workflow.
</t>
    </r>
    <r>
      <rPr>
        <rFont val="Arial"/>
        <b/>
        <color theme="1"/>
        <sz val="9.0"/>
      </rPr>
      <t>D. Progress Detail</t>
    </r>
    <r>
      <rPr>
        <rFont val="Arial"/>
        <color theme="1"/>
        <sz val="9.0"/>
      </rPr>
      <t xml:space="preserve">
&gt; Proposal yang sudah jadi dikirim ke klien → status dicatat (Quotation Sent).
&gt; Nomor quotation, tanggal, dan status (Pending, Won, Lost) wajib diisi.
&gt; Jika deal → upload file kontrak / signed file ke folder project, update status “Signed”.
&gt; Jika batal → isi alasan pembatalan.
</t>
    </r>
    <r>
      <rPr>
        <rFont val="Arial"/>
        <b/>
        <color theme="1"/>
        <sz val="9.0"/>
      </rPr>
      <t>E. Instrument</t>
    </r>
    <r>
      <rPr>
        <rFont val="Arial"/>
        <color theme="1"/>
        <sz val="9.0"/>
      </rPr>
      <t xml:space="preserve">
&gt; PM bersama tim checklist kebutuhan teknis (venue, catering, stage, multimedia, dll).
&gt; Status kesiapan dicatat di kolom Instrument.
</t>
    </r>
    <r>
      <rPr>
        <rFont val="Arial"/>
        <b/>
        <color theme="1"/>
        <sz val="9.0"/>
      </rPr>
      <t>F. Payment Detail</t>
    </r>
    <r>
      <rPr>
        <rFont val="Arial"/>
        <color theme="1"/>
        <sz val="9.0"/>
      </rPr>
      <t xml:space="preserve">
&gt; Finance mengisi estimasi budget di kolom Budget (Rp).
&gt; Finance membuat jadwal pembayaran (DP, termin, pelunasan).
&gt; Status invoice dan pembayaran wajib diupdate secara real-time.
&gt; Jika ada keterlambatan, Finance follow up &amp; catat di kolom Note.
</t>
    </r>
    <r>
      <rPr>
        <rFont val="Arial"/>
        <b/>
        <color theme="1"/>
        <sz val="9.0"/>
      </rPr>
      <t>G. Dokumentasi</t>
    </r>
    <r>
      <rPr>
        <rFont val="Arial"/>
        <color theme="1"/>
        <sz val="9.0"/>
      </rPr>
      <t xml:space="preserve">
&gt; Tim dokumentasi wajib menyimpan semua hasil dokumentasi di folder drive.
&gt; Link foto, video, teaser, dan media sosial (IG/YouTube) dicatat di workflow.
</t>
    </r>
    <r>
      <rPr>
        <rFont val="Arial"/>
        <b/>
        <color theme="1"/>
        <sz val="9.0"/>
      </rPr>
      <t>H. Closing Project</t>
    </r>
    <r>
      <rPr>
        <rFont val="Arial"/>
        <color theme="1"/>
        <sz val="9.0"/>
      </rPr>
      <t xml:space="preserve">
Project dianggap SELESAI jika:
&gt; Semua milestone tercapai.
&gt; Seluruh pembayaran lunas.
&gt; Dokumentasi lengkap &amp; diarsipkan.
&gt; Laporan P&amp;L project sudah selesai.
*Workflow di-lock oleh PM dan hanya bisa dibuka kembali oleh Finance/Admin jika ada audit.</t>
    </r>
  </si>
  <si>
    <t>6. Kontrol &amp; Evaluasi</t>
  </si>
  <si>
    <t>&gt; PM wajib melakukan review mingguan atas semua project di workflow.
&gt; Laporan bulanan diserahkan ke Managing Director.
&gt; Evaluasi project dilakukan 1 minggu setelah event untuk catatan perbaikan.</t>
  </si>
  <si>
    <t>7. Konsekuensi Ketidakpatuhan</t>
  </si>
  <si>
    <r>
      <rPr>
        <rFont val="Arial"/>
        <b/>
        <color theme="1"/>
        <sz val="9.0"/>
      </rPr>
      <t>a. Progress di Luar Workflow</t>
    </r>
    <r>
      <rPr>
        <rFont val="Arial"/>
        <color theme="1"/>
        <sz val="9.0"/>
      </rPr>
      <t xml:space="preserve">
&gt; Jika karyawan mengerjakan project tetapi tidak tercantum dalam Project Workflow, maka progress tersebut dianggap sebagai project pribadi, bukan bagian dari project perusahaan dan dianggap menyalahi aturan yang berlaku.
&gt; Segala bentuk progress yang tidak tercatat di Project Workflow tidak diakui sebagai tanggung jawab perusahaan.
</t>
    </r>
    <r>
      <rPr>
        <rFont val="Arial"/>
        <b/>
        <color theme="1"/>
        <sz val="9.0"/>
      </rPr>
      <t>b. Kelengkapan Data Workflow &amp; Insentif</t>
    </r>
    <r>
      <rPr>
        <rFont val="Arial"/>
        <color theme="1"/>
        <sz val="9.0"/>
      </rPr>
      <t xml:space="preserve">
&gt; Jika Project Workflow tidak dilengkapi atau tidak diisi sesuai SOP, maka project dianggap belum memenuhi standar administrasi.
&gt; Akibatnya, insentif project tidak dapat diklaim atau dicairkan sampai data dinyatakan lengkap.</t>
    </r>
  </si>
  <si>
    <t>8. Keamanan Data &amp; Privasi</t>
  </si>
  <si>
    <r>
      <rPr>
        <rFont val="Arial"/>
        <b/>
        <color theme="1"/>
        <sz val="9.0"/>
      </rPr>
      <t>a. Kerahasiaan Data</t>
    </r>
    <r>
      <rPr>
        <rFont val="Arial"/>
        <color theme="1"/>
        <sz val="9.0"/>
      </rPr>
      <t xml:space="preserve">
&gt; Seluruh data yang tercantum dalam Project Workflow (customer detail, budget, quotation, invoice, dokumentasi, dll.) merupakan aset perusahaan dan bersifat rahasia.
&gt; Data hanya boleh diakses dan digunakan untuk kepentingan pekerjaan sesuai dengan SOP.
</t>
    </r>
    <r>
      <rPr>
        <rFont val="Arial"/>
        <b/>
        <color theme="1"/>
        <sz val="9.0"/>
      </rPr>
      <t>b. Larangan Penyalahgunaan</t>
    </r>
    <r>
      <rPr>
        <rFont val="Arial"/>
        <color theme="1"/>
        <sz val="9.0"/>
      </rPr>
      <t xml:space="preserve">
&gt; Dilarang keras mengambil, menyalin, membagikan, atau menggunakan data klien maupun data perusahaan yang tercantum dalam Project Workflow untuk kepentingan pribadi atau pihak luar.
&gt; Pelanggaran atas poin ini akan dianggap sebagai tindak penyalahgunaan aset perusahaan dan dapat dikenakan tindakan disiplin sesuai peraturan yang berlaku.
</t>
    </r>
    <r>
      <rPr>
        <rFont val="Arial"/>
        <b/>
        <color theme="1"/>
        <sz val="9.0"/>
      </rPr>
      <t>c. Akses Terbatas</t>
    </r>
    <r>
      <rPr>
        <rFont val="Arial"/>
        <color theme="1"/>
        <sz val="9.0"/>
      </rPr>
      <t xml:space="preserve">
&gt; Akses ke Project Workflow hanya diberikan kepada karyawan sesuai kewenangan dan tanggung jawabnya.
&gt; Setiap karyawan wajib menjaga akun, password, serta akses login agar tidak digunakan oleh pihak yang tidak berhak.</t>
    </r>
  </si>
  <si>
    <t>Simple Dashboard</t>
  </si>
  <si>
    <t>Potential Revenue</t>
  </si>
  <si>
    <t>Revenue Confirmed</t>
  </si>
  <si>
    <t>Cancel</t>
  </si>
  <si>
    <t>Invoice Sent</t>
  </si>
  <si>
    <t>Target 2025</t>
  </si>
  <si>
    <t>Our Client Cancel</t>
  </si>
  <si>
    <t>Program Cancel</t>
  </si>
  <si>
    <t>Invoice in Progress</t>
  </si>
  <si>
    <t>Feedback</t>
  </si>
  <si>
    <t>Program Confirm</t>
  </si>
  <si>
    <t>Payment in progress</t>
  </si>
  <si>
    <t>Total Inquiry</t>
  </si>
  <si>
    <t>Total Project Deal</t>
  </si>
  <si>
    <t>In Progress</t>
  </si>
  <si>
    <t>Sent</t>
  </si>
  <si>
    <t>Project Already Paid</t>
  </si>
  <si>
    <t>Number of Project per Programer</t>
  </si>
  <si>
    <t>Quotation Sent</t>
  </si>
  <si>
    <t>Program in Progress</t>
  </si>
  <si>
    <t>Sign &amp; Deal</t>
  </si>
  <si>
    <t>Our Client Confirm &amp; Sign</t>
  </si>
  <si>
    <t>Program have not started</t>
  </si>
  <si>
    <t>Highest Budget</t>
  </si>
  <si>
    <r>
      <rPr>
        <rFont val="Raleway"/>
        <b val="0"/>
        <color rgb="FFF8FCEB"/>
        <sz val="24.0"/>
      </rPr>
      <t xml:space="preserve">Tasks vs. </t>
    </r>
    <r>
      <rPr>
        <rFont val="Raleway"/>
        <b/>
        <color rgb="FFF8FCEB"/>
        <sz val="24.0"/>
      </rPr>
      <t>Completion Dates</t>
    </r>
  </si>
  <si>
    <t>Lowest Budget</t>
  </si>
  <si>
    <t>Web</t>
  </si>
  <si>
    <t>Average Budget</t>
  </si>
  <si>
    <t>Project Workflow One Spirit 2025</t>
  </si>
  <si>
    <t>QT0025/JIP/I/2025</t>
  </si>
  <si>
    <t>INQUERY &amp; MOM</t>
  </si>
  <si>
    <t>CUSTOMER DETAIL</t>
  </si>
  <si>
    <t>PROGRAM DETAIL</t>
  </si>
  <si>
    <t>PROGRESS DETAIL</t>
  </si>
  <si>
    <t>INSTRUMENT</t>
  </si>
  <si>
    <t>PAYMENT DETAIL</t>
  </si>
  <si>
    <t>Dokumentasi</t>
  </si>
  <si>
    <t>A. Inquiry &amp; MOM
-Sales menerima inquiry klien melalui kanal resmi (email, WhatsApp, website, referral).
-Sales mengisi kolom Inquiry pada Project Workflow (tanggal, nama klien, PIC, kebutuhan awal).
-Sales membuat Minutes of Meeting (MOM) jika ada meeting awal, lalu upload ke folder project.</t>
  </si>
  <si>
    <t>B. Customer Detail
-Data lengkap klien diisi di kolom Customer Detail (nama project, kategori, CP, email, nomor HP).
-Sales wajib memastikan data ini lengkap sebelum masuk tahap program.</t>
  </si>
  <si>
    <t>C. Program Detail
-Program/Creative membuat konsep &amp; proposal sesuai kebutuhan klien.
-PM mengisi kategori event, program, venue, tanggal mulai &amp; selesai.
-Draft proposal dilampirkan di folder project, link dicatat di kolom workflow.</t>
  </si>
  <si>
    <t>D. Progress Detail
-Proposal yang sudah jadi dikirim ke klien → status dicatat (Quotation Sent).
-Nomor quotation, tanggal, dan status (Pending, Won, Lost) wajib diisi.
-Jika deal → upload file kontrak / signed file ke folder project, update status “Signed”.
-Jika batal → isi alasan pembatalan.</t>
  </si>
  <si>
    <t>E. Instrument
-PM bersama tim checklist kebutuhan teknis (venue, catering, stage, multimedia, dll).
-Status kesiapan dicatat di kolom Instrument.</t>
  </si>
  <si>
    <t>F. Payment Detail
-Finance mengisi estimasi budget di kolom Budget (Rp).
-Finance membuat jadwal pembayaran (DP, termin, pelunasan).
-Status invoice dan pembayaran wajib diupdate secara real-time.
-Jika ada keterlambatan, Finance follow up &amp; catat di kolom Note.</t>
  </si>
  <si>
    <t>G. Dokumentasi
-Tim dokumentasi wajib menyimpan semua hasil dokumentasi di folder drive.
-Link foto, video, teaser, dan media sosial (IG/YouTube) dicatat di workflow.</t>
  </si>
  <si>
    <t>INQ Date</t>
  </si>
  <si>
    <t>Section</t>
  </si>
  <si>
    <t>INQ By</t>
  </si>
  <si>
    <t>Sales</t>
  </si>
  <si>
    <t>PO</t>
  </si>
  <si>
    <t>PM</t>
  </si>
  <si>
    <t>MoM</t>
  </si>
  <si>
    <t>Company Name</t>
  </si>
  <si>
    <t>Customer
Category</t>
  </si>
  <si>
    <t>CP</t>
  </si>
  <si>
    <t>Phone Number</t>
  </si>
  <si>
    <t>Email</t>
  </si>
  <si>
    <t>Event
Category</t>
  </si>
  <si>
    <t>Prog</t>
  </si>
  <si>
    <t>QTY</t>
  </si>
  <si>
    <t>Venue</t>
  </si>
  <si>
    <t>Dur'</t>
  </si>
  <si>
    <t>Event Date Start</t>
  </si>
  <si>
    <t>Event Date End</t>
  </si>
  <si>
    <t>Milestone</t>
  </si>
  <si>
    <t>Quotation Date</t>
  </si>
  <si>
    <t>Quotation Number</t>
  </si>
  <si>
    <t>Quotation Status</t>
  </si>
  <si>
    <t>Program Status</t>
  </si>
  <si>
    <t>Signed File</t>
  </si>
  <si>
    <t>Cancel  Reason</t>
  </si>
  <si>
    <t>CL</t>
  </si>
  <si>
    <t>ROS</t>
  </si>
  <si>
    <t>CK</t>
  </si>
  <si>
    <t>PNL</t>
  </si>
  <si>
    <t>PF</t>
  </si>
  <si>
    <t>Matrix</t>
  </si>
  <si>
    <t>Note</t>
  </si>
  <si>
    <t>Budget (Rp)</t>
  </si>
  <si>
    <t>Payment
Schadule</t>
  </si>
  <si>
    <t>INVOICE
Status</t>
  </si>
  <si>
    <t>Payment Status</t>
  </si>
  <si>
    <t>Project
Status</t>
  </si>
  <si>
    <t>Link Photo</t>
  </si>
  <si>
    <t>Link Video</t>
  </si>
  <si>
    <t>Link Teaser</t>
  </si>
  <si>
    <t>IG</t>
  </si>
  <si>
    <t>YT</t>
  </si>
  <si>
    <t>OS</t>
  </si>
  <si>
    <t>Direct</t>
  </si>
  <si>
    <t>JIP</t>
  </si>
  <si>
    <t>OME</t>
  </si>
  <si>
    <t>Golden Rama Travel JKT</t>
  </si>
  <si>
    <t>Corporate</t>
  </si>
  <si>
    <t>Employee Gathering</t>
  </si>
  <si>
    <t xml:space="preserve">TB </t>
  </si>
  <si>
    <t>R Hotel Rancamaya</t>
  </si>
  <si>
    <t>P006</t>
  </si>
  <si>
    <t>No Response</t>
  </si>
  <si>
    <t>PT Binareka Tatamandiri</t>
  </si>
  <si>
    <t>Mrs. Yenni</t>
  </si>
  <si>
    <t>+62 813 1915 6490</t>
  </si>
  <si>
    <t>Entertainment</t>
  </si>
  <si>
    <t>ENT</t>
  </si>
  <si>
    <t>Royal Tulip Gunung Geulis</t>
  </si>
  <si>
    <t>P009</t>
  </si>
  <si>
    <t>Signed &amp; Deal</t>
  </si>
  <si>
    <t>Confirm</t>
  </si>
  <si>
    <t>-</t>
  </si>
  <si>
    <t>Paid</t>
  </si>
  <si>
    <t>Closed</t>
  </si>
  <si>
    <t>Hotel</t>
  </si>
  <si>
    <t>Maria</t>
  </si>
  <si>
    <t>RFT</t>
  </si>
  <si>
    <t>Syifa Adventure Rafting</t>
  </si>
  <si>
    <t>P008</t>
  </si>
  <si>
    <t>https://drive.google.com/drive/folders/1-hacH_MoKZTyj9z0iLhVNKVcfEs5SYOv?usp=sharing</t>
  </si>
  <si>
    <t>https://www.instagram.com/onespiritasia/reel/DOz2rL1kodS/</t>
  </si>
  <si>
    <t>Partner</t>
  </si>
  <si>
    <t>Linda</t>
  </si>
  <si>
    <t>DPRD Banten</t>
  </si>
  <si>
    <t>Goverment</t>
  </si>
  <si>
    <t>Mrs. Linda</t>
  </si>
  <si>
    <t>+62 877-7770-7115</t>
  </si>
  <si>
    <t>P005</t>
  </si>
  <si>
    <t>https://drive.google.com/drive/folders/1fv2kALZPjBrLNY8ilmc52dU_CcVBsGin?usp=sharing</t>
  </si>
  <si>
    <t>https://www.instagram.com/onespiritasia/reel/DEhOFIxyZ1z/</t>
  </si>
  <si>
    <t>Hera</t>
  </si>
  <si>
    <t>SYS</t>
  </si>
  <si>
    <t>Mrs Yani</t>
  </si>
  <si>
    <t>Other</t>
  </si>
  <si>
    <t>Mrs. Yani</t>
  </si>
  <si>
    <t>+62857-1930-3666</t>
  </si>
  <si>
    <t>Luminor Hotel Bogor</t>
  </si>
  <si>
    <t>P003</t>
  </si>
  <si>
    <t>Budget</t>
  </si>
  <si>
    <t>Nanda</t>
  </si>
  <si>
    <t>TF</t>
  </si>
  <si>
    <t>PGN GAGAS</t>
  </si>
  <si>
    <t>Mrs. Firly</t>
  </si>
  <si>
    <t>+62 813- 8230-1414</t>
  </si>
  <si>
    <t>Full Arrangement</t>
  </si>
  <si>
    <t>Alana Sentul</t>
  </si>
  <si>
    <t>P015</t>
  </si>
  <si>
    <t>https://www.instagram.com/onespiritasia/reel/DGKVoHozZvI/</t>
  </si>
  <si>
    <t>BR</t>
  </si>
  <si>
    <t>PT Acer Indonesia</t>
  </si>
  <si>
    <t>Mr. Inyo Kusoy</t>
  </si>
  <si>
    <t>+62 813-4064-2559</t>
  </si>
  <si>
    <t>TB - Scavenger Hunt</t>
  </si>
  <si>
    <t>Lap. Leuwi Asih, Hutan Hujan, Royal Tulip</t>
  </si>
  <si>
    <t>P001</t>
  </si>
  <si>
    <t>https://drive.google.com/drive/folders/1aCJrohtxDWHPEG2Pca8w5ypqgoE7m625?usp=sharing</t>
  </si>
  <si>
    <t>https://www.instagram.com/onespiritasia/reel/DE9k1lQSMNu/</t>
  </si>
  <si>
    <t>Yulia</t>
  </si>
  <si>
    <t>PT Energy Unggu Persada</t>
  </si>
  <si>
    <t>Mr. Fortune</t>
  </si>
  <si>
    <t>Production</t>
  </si>
  <si>
    <t>P026</t>
  </si>
  <si>
    <t>PT Infinite Business Synergy</t>
  </si>
  <si>
    <t>Mrs. Resha</t>
  </si>
  <si>
    <t>+62 877-7821-3038</t>
  </si>
  <si>
    <t>Pesona Alam</t>
  </si>
  <si>
    <t>P012</t>
  </si>
  <si>
    <t>Internal Reason</t>
  </si>
  <si>
    <t>LS</t>
  </si>
  <si>
    <t>Roy (Bromelia)</t>
  </si>
  <si>
    <t>SB</t>
  </si>
  <si>
    <t>KB Data System Indonesia</t>
  </si>
  <si>
    <t>Mr. Kimi</t>
  </si>
  <si>
    <t>+62 878-7323-4949</t>
  </si>
  <si>
    <t>FG</t>
  </si>
  <si>
    <t>Bromelia</t>
  </si>
  <si>
    <t>P021</t>
  </si>
  <si>
    <t>Opik</t>
  </si>
  <si>
    <t>PT Mandiri Tunas Finance</t>
  </si>
  <si>
    <t>Mrs. Nabila</t>
  </si>
  <si>
    <t>+62 812-9669-7498</t>
  </si>
  <si>
    <t>Lenirra Villa &amp; Resto</t>
  </si>
  <si>
    <t>P025</t>
  </si>
  <si>
    <t>Opick</t>
  </si>
  <si>
    <t xml:space="preserve">PT Hardana WIdya Mahir </t>
  </si>
  <si>
    <t xml:space="preserve">Mrs Dinda </t>
  </si>
  <si>
    <t>+62 895-2343-1883</t>
  </si>
  <si>
    <t>OFR</t>
  </si>
  <si>
    <t>Lenirra Villa&amp; resto</t>
  </si>
  <si>
    <t>P068</t>
  </si>
  <si>
    <t>DOKUMENTASI PT.HARDANA WIDYA MAHIR</t>
  </si>
  <si>
    <t>Puji</t>
  </si>
  <si>
    <t>Mahakarya Adi Indonesia</t>
  </si>
  <si>
    <t>Mrs. Bella Arifah</t>
  </si>
  <si>
    <t>+62 817-7679-9928</t>
  </si>
  <si>
    <t>The Botanica Sanctuary</t>
  </si>
  <si>
    <t>P027</t>
  </si>
  <si>
    <t>https://drive.google.com/drive/folders/1CtJvNSkqO46UgP2HMHa_LnVbhXdE7RK6?usp=sharing</t>
  </si>
  <si>
    <t>OLX</t>
  </si>
  <si>
    <t>Tannya</t>
  </si>
  <si>
    <t>+62 896-7218-5308</t>
  </si>
  <si>
    <t>Aston Ciloto</t>
  </si>
  <si>
    <t>P013</t>
  </si>
  <si>
    <t>Competitor</t>
  </si>
  <si>
    <t>PT Taren Satiu Tuju</t>
  </si>
  <si>
    <t>Mr. Rizqi</t>
  </si>
  <si>
    <t>0812-1271-1888</t>
  </si>
  <si>
    <t>MNC Lido Lake Resort</t>
  </si>
  <si>
    <t>P019</t>
  </si>
  <si>
    <t>PT Century Distribution System Indonesia</t>
  </si>
  <si>
    <t>Mrs Rahma</t>
  </si>
  <si>
    <t>+62 856-9495-5900</t>
  </si>
  <si>
    <t>P028</t>
  </si>
  <si>
    <t>https://drive.google.com/drive/folders/1mE1BpaeyOE5rUqgy7tk658vqcjWkzj5p?usp=sharing</t>
  </si>
  <si>
    <t>https://www.instagram.com/onespiritasia/reel/DLG6daKyvEd/</t>
  </si>
  <si>
    <t>+62 856-9495-5901</t>
  </si>
  <si>
    <t>Others</t>
  </si>
  <si>
    <t>P029</t>
  </si>
  <si>
    <t>APARI</t>
  </si>
  <si>
    <t>Mrs. Lela</t>
  </si>
  <si>
    <t>62 823-6200-4881</t>
  </si>
  <si>
    <t>Alamanda Rafting</t>
  </si>
  <si>
    <t>P023</t>
  </si>
  <si>
    <t>FMIPA IPB</t>
  </si>
  <si>
    <t>Mrs. Ati</t>
  </si>
  <si>
    <t>+62 812-8974-499</t>
  </si>
  <si>
    <t>Neo Hotel Sentul</t>
  </si>
  <si>
    <t>P033</t>
  </si>
  <si>
    <t>Repeater</t>
  </si>
  <si>
    <t>Telkom Property</t>
  </si>
  <si>
    <t>Mrs. Farha</t>
  </si>
  <si>
    <t>+62 813-1905-9828</t>
  </si>
  <si>
    <t>Auditorium Telkom Landmark Tower</t>
  </si>
  <si>
    <t>P014</t>
  </si>
  <si>
    <t>RA</t>
  </si>
  <si>
    <t xml:space="preserve">TK Nurul Huda CIbuluh </t>
  </si>
  <si>
    <t>Student</t>
  </si>
  <si>
    <t xml:space="preserve">Mrs TIni </t>
  </si>
  <si>
    <t>+62 857 1040 3573</t>
  </si>
  <si>
    <t>Tour</t>
  </si>
  <si>
    <t>Study tour</t>
  </si>
  <si>
    <t>TSI</t>
  </si>
  <si>
    <t>P038</t>
  </si>
  <si>
    <t>https://drive.google.com/drive/folders/17EfwWcAsKZUR6-OaT86CtLuYMkg_Y3W2</t>
  </si>
  <si>
    <t>https://www.instagram.com/onespiritasia/reel/DFwwnT6zJnt/</t>
  </si>
  <si>
    <t>Ibu Beta</t>
  </si>
  <si>
    <t>PT Asuransi Raksa Pratikara</t>
  </si>
  <si>
    <t>Mrs. Susy</t>
  </si>
  <si>
    <t>+62 816 976 101</t>
  </si>
  <si>
    <t>P024</t>
  </si>
  <si>
    <t>Daimler Truck - Soft SOP</t>
  </si>
  <si>
    <t>Mrs. Yessi</t>
  </si>
  <si>
    <t>+62 813-2717-0256</t>
  </si>
  <si>
    <t>Cikarang - Bekasi</t>
  </si>
  <si>
    <t>P032</t>
  </si>
  <si>
    <t>MWB</t>
  </si>
  <si>
    <t>PT Sariling</t>
  </si>
  <si>
    <t>Mrs. Yunita Sitanggang</t>
  </si>
  <si>
    <t>+62 851-5777-8737</t>
  </si>
  <si>
    <t>Bogor/Bandung (TBC)</t>
  </si>
  <si>
    <t>P007</t>
  </si>
  <si>
    <t>Huawei</t>
  </si>
  <si>
    <t>Mrs. Resti</t>
  </si>
  <si>
    <t>+62 896-6199-6515</t>
  </si>
  <si>
    <t>P020</t>
  </si>
  <si>
    <t>UT</t>
  </si>
  <si>
    <t>PT Mega Waja Corporindo</t>
  </si>
  <si>
    <t>Mrs. Septi</t>
  </si>
  <si>
    <t>Bogor</t>
  </si>
  <si>
    <t>P042</t>
  </si>
  <si>
    <t>BNI Jakarta</t>
  </si>
  <si>
    <t>Mrs. Risa</t>
  </si>
  <si>
    <t>+61 434 548 598</t>
  </si>
  <si>
    <t>Jogjakarta</t>
  </si>
  <si>
    <t>P030</t>
  </si>
  <si>
    <t>RS Pertamina</t>
  </si>
  <si>
    <t>Mrs. Oche</t>
  </si>
  <si>
    <t>+62 818-0865-7356</t>
  </si>
  <si>
    <t>Bigland</t>
  </si>
  <si>
    <t>P043</t>
  </si>
  <si>
    <t xml:space="preserve">Nanda </t>
  </si>
  <si>
    <t>PLN IP UBP Kamojang  (Batch 1)</t>
  </si>
  <si>
    <t xml:space="preserve">Mr Mishbah </t>
  </si>
  <si>
    <t>+62 822 3449 9535</t>
  </si>
  <si>
    <t>Trekking</t>
  </si>
  <si>
    <t>Leuwi Asih</t>
  </si>
  <si>
    <t>P039</t>
  </si>
  <si>
    <t>https://drive.google.com/file/d/1jp6i0BvqlQfrwQcJBuGIF2oTErSZgcfa/view?usp=drive_link</t>
  </si>
  <si>
    <t>https://drive.google.com/drive/folders/1zMDuPh1E2kf6Yd4UtQruXN9u1f390I37?usp=sharing</t>
  </si>
  <si>
    <t>Payment LS 14 Days</t>
  </si>
  <si>
    <t>PT Sinergi Wahana Gemilang</t>
  </si>
  <si>
    <t>Mrs. Tiwi</t>
  </si>
  <si>
    <t>+62 812-8059-2908</t>
  </si>
  <si>
    <t>Hotel Santika Kuningan</t>
  </si>
  <si>
    <t>P016</t>
  </si>
  <si>
    <t>https://drive.google.com/drive/folders/1BEyJ6Huic6QO3Sz4pVyOBL0y2yCqDv26?usp=sharing</t>
  </si>
  <si>
    <t>PT. MC Urban Development Indonesia</t>
  </si>
  <si>
    <t>Mr. Dana Dwi Satria</t>
  </si>
  <si>
    <t>+62 811 1933 0168</t>
  </si>
  <si>
    <t>Pullman Ciawi</t>
  </si>
  <si>
    <t>P022</t>
  </si>
  <si>
    <t>PLN IP UBP Kamojang ( Batch 2 )</t>
  </si>
  <si>
    <t>Leusi Asih</t>
  </si>
  <si>
    <t>P040</t>
  </si>
  <si>
    <t>https://drive.google.com/file/d/1PKONQAygQGPxJjNNJEs-p5jYnn4zWhj8/view?usp=drive_link</t>
  </si>
  <si>
    <t>https://drive.google.com/drive/folders/1FmBuxbny6KG7Z8QfaFhOUs1t4xwnDMs2?usp=sharing</t>
  </si>
  <si>
    <t>Dharma Wanita BNI Pusat</t>
  </si>
  <si>
    <t>Mrs. Denis</t>
  </si>
  <si>
    <t>+62 812 8130 412</t>
  </si>
  <si>
    <t>P050</t>
  </si>
  <si>
    <t>ANTAM</t>
  </si>
  <si>
    <t>Mrs. Wirda</t>
  </si>
  <si>
    <t>P053</t>
  </si>
  <si>
    <t>Krakatau Steel</t>
  </si>
  <si>
    <t>Mrs. Dyosferra</t>
  </si>
  <si>
    <t>+62 877-7431-1499</t>
  </si>
  <si>
    <t>Pesona Alam Resort &amp; Spa</t>
  </si>
  <si>
    <t>P018</t>
  </si>
  <si>
    <t>https://drive.google.com/drive/folders/1Y-fvzu1KSj7KptbYLn_7nvDXom35_Wt_?usp=sharing</t>
  </si>
  <si>
    <t>https://www.instagram.com/onespiritasia/reel/DF444cATBiX/</t>
  </si>
  <si>
    <t>Trakindo</t>
  </si>
  <si>
    <t>Ardi Sobby</t>
  </si>
  <si>
    <t>62 811-8010-2950</t>
  </si>
  <si>
    <t>Meeting</t>
  </si>
  <si>
    <t>Aston Sentul</t>
  </si>
  <si>
    <t>P036</t>
  </si>
  <si>
    <t>Rp296,641,950</t>
  </si>
  <si>
    <t>PERTAABI</t>
  </si>
  <si>
    <t>Mrs. Putri</t>
  </si>
  <si>
    <t>+62 813-1590-8797</t>
  </si>
  <si>
    <t>Sheraton Grand Jakarta</t>
  </si>
  <si>
    <t>P011</t>
  </si>
  <si>
    <t>https://drive.google.com/drive/folders/1QuKPBqPQOu521IdGQp-U4MQNsfEstF6z</t>
  </si>
  <si>
    <t>https://www.instagram.com/onespiritasia/reel/DGULGiiy_Kr/</t>
  </si>
  <si>
    <t>PO by Numan</t>
  </si>
  <si>
    <t>SBK</t>
  </si>
  <si>
    <t xml:space="preserve">Study Tour SMP 18 Goes to Dufan </t>
  </si>
  <si>
    <t>Taman Impian Jaya Ancol</t>
  </si>
  <si>
    <t>P058</t>
  </si>
  <si>
    <t>Rai</t>
  </si>
  <si>
    <t xml:space="preserve">Pertamina </t>
  </si>
  <si>
    <t>P062</t>
  </si>
  <si>
    <t>Asuransi Etika</t>
  </si>
  <si>
    <t>Mrs. Foni</t>
  </si>
  <si>
    <t>+62812-83869330</t>
  </si>
  <si>
    <t>TBC</t>
  </si>
  <si>
    <t>P004</t>
  </si>
  <si>
    <t>Purwakarta</t>
  </si>
  <si>
    <t>Mrs. Dini</t>
  </si>
  <si>
    <t>+62 815-8287-313</t>
  </si>
  <si>
    <t>Inflatable Race</t>
  </si>
  <si>
    <t>P031</t>
  </si>
  <si>
    <t>Yogi - DNA</t>
  </si>
  <si>
    <t>DNA</t>
  </si>
  <si>
    <t>P037</t>
  </si>
  <si>
    <t>Novalita (Royal tulip)</t>
  </si>
  <si>
    <t>Smartfren Sabang</t>
  </si>
  <si>
    <t>Mrs. Mimie</t>
  </si>
  <si>
    <t>+62 888 1853 295</t>
  </si>
  <si>
    <t>JSI Resort</t>
  </si>
  <si>
    <t>P054</t>
  </si>
  <si>
    <t>https://drive.google.com/drive/folders/1sx2t0UYlbGU8qQWXBFQaD2A_jnLo9dA8?usp=sharing</t>
  </si>
  <si>
    <t>https://www.instagram.com/onespiritasia/reel/DGZTeSJTn46/</t>
  </si>
  <si>
    <t>PT Argha Karya Prima</t>
  </si>
  <si>
    <t>Mrs. Mirah</t>
  </si>
  <si>
    <t>+62 812 8753 0500</t>
  </si>
  <si>
    <t>P060</t>
  </si>
  <si>
    <t>P063</t>
  </si>
  <si>
    <t>https://drive.google.com/drive/folders/1lz7TaxXidGCauIKO7_qjS3TmGESzugcu?usp=sharing</t>
  </si>
  <si>
    <t>BPJS Ketenagakerjaan Pusat</t>
  </si>
  <si>
    <t>Mrs. Sofia</t>
  </si>
  <si>
    <t>+62 812-1072-573</t>
  </si>
  <si>
    <t>Aston Bogor</t>
  </si>
  <si>
    <t>P057</t>
  </si>
  <si>
    <t xml:space="preserve">BNP Parimbas </t>
  </si>
  <si>
    <t>P067</t>
  </si>
  <si>
    <t>Zia</t>
  </si>
  <si>
    <t>PT. Jasa Prima Logistik BULOG</t>
  </si>
  <si>
    <t>Mr. Arham</t>
  </si>
  <si>
    <t>+62 811 4614 164</t>
  </si>
  <si>
    <t xml:space="preserve">Heha &amp; Pesona </t>
  </si>
  <si>
    <t>P045</t>
  </si>
  <si>
    <t>https://acrobat.adobe.com/id/urn:aaid:sc:AP:6d0e2d53-fb50-46fa-afbd-fc8325f01ac2</t>
  </si>
  <si>
    <t xml:space="preserve">Jasa Prima Logistik Bulog </t>
  </si>
  <si>
    <t>P069</t>
  </si>
  <si>
    <t>https://drive.google.com/drive/folders/1lz7TaxXidGCauIKO7_qjS3TmGESzugcu</t>
  </si>
  <si>
    <t>PT Mahitala Ingkeng Gemah</t>
  </si>
  <si>
    <t>Mr. Zherfin</t>
  </si>
  <si>
    <t>+62 852-1978-6669</t>
  </si>
  <si>
    <t>P049</t>
  </si>
  <si>
    <t>PT Helios Informatika Nusantara</t>
  </si>
  <si>
    <t>Mrs Galih</t>
  </si>
  <si>
    <t>+62 859-5902-8373</t>
  </si>
  <si>
    <t>Royal Tulip</t>
  </si>
  <si>
    <t>P061</t>
  </si>
  <si>
    <t>P070</t>
  </si>
  <si>
    <t>Offering Beyond Travelindo Jakarta</t>
  </si>
  <si>
    <t>Mr Abu</t>
  </si>
  <si>
    <t>P046</t>
  </si>
  <si>
    <t>Daimler Truck - Cleaning Service</t>
  </si>
  <si>
    <t>Mr. Febri</t>
  </si>
  <si>
    <t>+62 813-2803-1899</t>
  </si>
  <si>
    <t>P035</t>
  </si>
  <si>
    <t>ICBC Indonesia</t>
  </si>
  <si>
    <t>Mr. Nixon</t>
  </si>
  <si>
    <t>+62 821-2708-2984</t>
  </si>
  <si>
    <t>P017</t>
  </si>
  <si>
    <t>PT Johnson Controls Indonesia</t>
  </si>
  <si>
    <t>Mrs. Selly Handayani</t>
  </si>
  <si>
    <t>+62 811-9603-998</t>
  </si>
  <si>
    <t>selly.handayani@jci.com</t>
  </si>
  <si>
    <t>The Westin Jakarta</t>
  </si>
  <si>
    <t>P010</t>
  </si>
  <si>
    <t>Mrs Putri (TRAKNUS)</t>
  </si>
  <si>
    <t>P072</t>
  </si>
  <si>
    <t xml:space="preserve">Mrs. Farha Dina </t>
  </si>
  <si>
    <t>Office Telkom Property</t>
  </si>
  <si>
    <t>P071</t>
  </si>
  <si>
    <t>Dhewa</t>
  </si>
  <si>
    <t xml:space="preserve">MWB </t>
  </si>
  <si>
    <t>Koplove</t>
  </si>
  <si>
    <t>Sport Event</t>
  </si>
  <si>
    <t>Sirkuit Sentul</t>
  </si>
  <si>
    <t>P002</t>
  </si>
  <si>
    <t>Fak Hukum Univ Pakuan</t>
  </si>
  <si>
    <t>P077</t>
  </si>
  <si>
    <t>PT Arvia Pratama Tiara</t>
  </si>
  <si>
    <t>Mrs. Andhi Briliana</t>
  </si>
  <si>
    <t>+62 812-9764-5599</t>
  </si>
  <si>
    <t>Bandung</t>
  </si>
  <si>
    <t>P034</t>
  </si>
  <si>
    <t>Gathering JCI with HAEI</t>
  </si>
  <si>
    <t>Lia Audina</t>
  </si>
  <si>
    <t>+62 851-5956-7767</t>
  </si>
  <si>
    <t>lia.audina@jci.com</t>
  </si>
  <si>
    <t>Double Tree by Hilton Jakarta</t>
  </si>
  <si>
    <t>P078</t>
  </si>
  <si>
    <t>PT Wiralab Analitikal</t>
  </si>
  <si>
    <t>Mrs. Anne</t>
  </si>
  <si>
    <t>+62 856 9112 3843</t>
  </si>
  <si>
    <t>Thailand</t>
  </si>
  <si>
    <t>P051</t>
  </si>
  <si>
    <t>Costumer Gathering Button Scarves</t>
  </si>
  <si>
    <t>Shafa Yuandina</t>
  </si>
  <si>
    <t>+62 877-7176-8187</t>
  </si>
  <si>
    <t>P079</t>
  </si>
  <si>
    <t>Tazkia Tour &amp; Travel</t>
  </si>
  <si>
    <t xml:space="preserve">Mr Fajar </t>
  </si>
  <si>
    <t>+62 817-4130-393</t>
  </si>
  <si>
    <t xml:space="preserve">Pesona Alam resort &amp; Spa </t>
  </si>
  <si>
    <t>P076</t>
  </si>
  <si>
    <t>Zurich</t>
  </si>
  <si>
    <t>Mellyana</t>
  </si>
  <si>
    <t>TMII</t>
  </si>
  <si>
    <t>P084</t>
  </si>
  <si>
    <t xml:space="preserve">Mrs Zia </t>
  </si>
  <si>
    <t>Mrs Zia</t>
  </si>
  <si>
    <t>+62 822-3264-7697</t>
  </si>
  <si>
    <t>P074</t>
  </si>
  <si>
    <t>RDP DPR - Kemenpar</t>
  </si>
  <si>
    <t>Pradipta</t>
  </si>
  <si>
    <t>+62 857-1501-7046</t>
  </si>
  <si>
    <t>Le Meridien Jakarta</t>
  </si>
  <si>
    <t>P086</t>
  </si>
  <si>
    <t>Offering Letter</t>
  </si>
  <si>
    <t>Daimler Tuck - Halal Bihalal</t>
  </si>
  <si>
    <t>Daimler Truck Plan</t>
  </si>
  <si>
    <t>P088</t>
  </si>
  <si>
    <t xml:space="preserve">PT Gitaswara Indonesia </t>
  </si>
  <si>
    <t>Mrs Wanty</t>
  </si>
  <si>
    <t>+62 811 680 010</t>
  </si>
  <si>
    <t>Royal Tulip / Lewi Hejo</t>
  </si>
  <si>
    <t>P090</t>
  </si>
  <si>
    <t>The Alana Sentul</t>
  </si>
  <si>
    <t>MKKS SD Kota Depok</t>
  </si>
  <si>
    <t>The Alana Hotel Sentul</t>
  </si>
  <si>
    <t>P096</t>
  </si>
  <si>
    <t>Nutrifood</t>
  </si>
  <si>
    <t>Mrs. Yasmin</t>
  </si>
  <si>
    <t>P066</t>
  </si>
  <si>
    <t>OJK</t>
  </si>
  <si>
    <t>Mrs. Andry Triayuwerdhaty</t>
  </si>
  <si>
    <t>+62 813-8613-1594</t>
  </si>
  <si>
    <t>P092</t>
  </si>
  <si>
    <t>PAPDI Bekasi</t>
  </si>
  <si>
    <t>Dr. Irma</t>
  </si>
  <si>
    <t>+62 859 2066 0026</t>
  </si>
  <si>
    <t>Harris Bekasi</t>
  </si>
  <si>
    <t>P048</t>
  </si>
  <si>
    <t>Sekolah Lentera Indonesia</t>
  </si>
  <si>
    <t>Mrs. Anty</t>
  </si>
  <si>
    <t>+62 858-9464-2061</t>
  </si>
  <si>
    <t>Highland Park</t>
  </si>
  <si>
    <t>P065</t>
  </si>
  <si>
    <t xml:space="preserve">Ipung </t>
  </si>
  <si>
    <t xml:space="preserve">Aeon Fantasy Indonesia </t>
  </si>
  <si>
    <t xml:space="preserve">Mrs Ovie </t>
  </si>
  <si>
    <t>Jambuluwuk Jakarta</t>
  </si>
  <si>
    <t>P089</t>
  </si>
  <si>
    <t>Nova (Royal Tulip)</t>
  </si>
  <si>
    <t>PDAM Bandung</t>
  </si>
  <si>
    <t>Mrs Susan</t>
  </si>
  <si>
    <t>+62 812 2197 7627</t>
  </si>
  <si>
    <t>The Alana Hotel/Leuwi Hejo</t>
  </si>
  <si>
    <t>P093</t>
  </si>
  <si>
    <t>https://drive.google.com/drive/folders/1Z06kZmc1B3WUjgMAdNPrtePth25Xwapv?usp=sharing</t>
  </si>
  <si>
    <t>PT Menarini Indria laboratories</t>
  </si>
  <si>
    <t>Ardi Utomo</t>
  </si>
  <si>
    <t>+62 812-9595-8567</t>
  </si>
  <si>
    <t>Jogja</t>
  </si>
  <si>
    <t>P082</t>
  </si>
  <si>
    <t>PT Acaraki Nusantara Persada</t>
  </si>
  <si>
    <t>Mrs. Ayu</t>
  </si>
  <si>
    <t>+62 821 8107 6432</t>
  </si>
  <si>
    <t>P119</t>
  </si>
  <si>
    <t>https://drive.google.com/drive/folders/1t5rRSFqMQDaSNhDYh2kzZPDLYJDSfx-Z?usp=sharing</t>
  </si>
  <si>
    <t>Mrs. Dewi Purnama - PARS</t>
  </si>
  <si>
    <t>Asuransi Sinar Mas</t>
  </si>
  <si>
    <t>Mrs. Christianty</t>
  </si>
  <si>
    <t>+62 815-8860-334</t>
  </si>
  <si>
    <t>Christianty_Wijaya@Sinarmas.co.id</t>
  </si>
  <si>
    <t>Family Gathering</t>
  </si>
  <si>
    <t>Pesona Alam resort &amp; Spa - The Botanica</t>
  </si>
  <si>
    <t>P097</t>
  </si>
  <si>
    <t>https://drive.google.com/drive/folders/1sYmR7MLtVQ40-Pu9Q91F0ZtDJEJMqj8D</t>
  </si>
  <si>
    <t>https://drive.google.com/drive/folders/15C2dnAsFjsForf2zNng0SqYJBdM1XUKV</t>
  </si>
  <si>
    <t>Lazada</t>
  </si>
  <si>
    <t>Jumi</t>
  </si>
  <si>
    <t>Bali / Pulau Seribu</t>
  </si>
  <si>
    <t>P081</t>
  </si>
  <si>
    <t>Yayasan Syiar Bangsa (Summarecon Group)</t>
  </si>
  <si>
    <t>Anyer</t>
  </si>
  <si>
    <t>P083</t>
  </si>
  <si>
    <t xml:space="preserve">Bank Mandiri </t>
  </si>
  <si>
    <t>Royal Tulip Gn. Geulis</t>
  </si>
  <si>
    <t>P087</t>
  </si>
  <si>
    <t>Postponed</t>
  </si>
  <si>
    <t>Aminef</t>
  </si>
  <si>
    <t>Mrs. Rianti</t>
  </si>
  <si>
    <t>+62 811-9768-900</t>
  </si>
  <si>
    <t>Kebun Raya Bogor</t>
  </si>
  <si>
    <t>P056</t>
  </si>
  <si>
    <t>PT SHN</t>
  </si>
  <si>
    <t>Mrs. Isabela</t>
  </si>
  <si>
    <t>+62 895 3858 72327</t>
  </si>
  <si>
    <t>Villa</t>
  </si>
  <si>
    <t>P064</t>
  </si>
  <si>
    <t>Vencedor Travel Bandung</t>
  </si>
  <si>
    <t>Mrs. Elsa</t>
  </si>
  <si>
    <t>Area Rafting</t>
  </si>
  <si>
    <t>P109</t>
  </si>
  <si>
    <t xml:space="preserve">PT Energia </t>
  </si>
  <si>
    <t>Mr Fauzan</t>
  </si>
  <si>
    <t>+62 858 8292 3693</t>
  </si>
  <si>
    <t>P170</t>
  </si>
  <si>
    <t>Kang Opick</t>
  </si>
  <si>
    <t>PT Energia</t>
  </si>
  <si>
    <t>P104</t>
  </si>
  <si>
    <t>Novalita (Royal Tulip)</t>
  </si>
  <si>
    <t>Kejaksaan</t>
  </si>
  <si>
    <t>Mrs Sri Muntari</t>
  </si>
  <si>
    <t>+62 813 1911 6664</t>
  </si>
  <si>
    <t>P094</t>
  </si>
  <si>
    <t>+62 857-7433-7749</t>
  </si>
  <si>
    <t>P103</t>
  </si>
  <si>
    <t>Dandy Perwansyah</t>
  </si>
  <si>
    <t>D'Sawah (Al Azhar)</t>
  </si>
  <si>
    <t>Mrs Siti Ayanti</t>
  </si>
  <si>
    <t>D'Sawah</t>
  </si>
  <si>
    <t>P095</t>
  </si>
  <si>
    <t>Virgo Ramayana Music &amp; Entertainment</t>
  </si>
  <si>
    <t>Mr. Muhamad Hambali</t>
  </si>
  <si>
    <t>P098</t>
  </si>
  <si>
    <t>SD Bakti Mulya 400</t>
  </si>
  <si>
    <t>Mrs. Annys</t>
  </si>
  <si>
    <t>P075</t>
  </si>
  <si>
    <t>Jaka</t>
  </si>
  <si>
    <t>NTT Data</t>
  </si>
  <si>
    <t>Mrs. Turi</t>
  </si>
  <si>
    <t>Lido Lake Resort</t>
  </si>
  <si>
    <t>P091</t>
  </si>
  <si>
    <t>Yamaha Music Indonesia</t>
  </si>
  <si>
    <t>Christina</t>
  </si>
  <si>
    <t>+62 822 6000 2921</t>
  </si>
  <si>
    <t>christina.simanungkalit@music.yamaha.com</t>
  </si>
  <si>
    <t>Yamaha Music Centre Building</t>
  </si>
  <si>
    <t>P085</t>
  </si>
  <si>
    <t>Fakultas Kedokteran IPB</t>
  </si>
  <si>
    <t>Mrs. Rosita</t>
  </si>
  <si>
    <t>+62 821-4910-0499</t>
  </si>
  <si>
    <t>Pulau Seribu</t>
  </si>
  <si>
    <t>P101</t>
  </si>
  <si>
    <t>Change Destination</t>
  </si>
  <si>
    <t>Daimler Tuck - Mr. Thota Visit</t>
  </si>
  <si>
    <t>Daimler Truck - Cikarang Plant</t>
  </si>
  <si>
    <t>P133</t>
  </si>
  <si>
    <t>Daimler Tuck - Business Card</t>
  </si>
  <si>
    <t>P135</t>
  </si>
  <si>
    <t>Reporting</t>
  </si>
  <si>
    <t>Satpol PP Batch 1 Lido</t>
  </si>
  <si>
    <t>Pa Agung</t>
  </si>
  <si>
    <t xml:space="preserve"> + 62 812-8287-7813</t>
  </si>
  <si>
    <t>P122</t>
  </si>
  <si>
    <t>Satpol PP (Training Set)</t>
  </si>
  <si>
    <t>P130</t>
  </si>
  <si>
    <t>MDL</t>
  </si>
  <si>
    <t>Yayasan AL Basyir</t>
  </si>
  <si>
    <t>Mrs. Rifha</t>
  </si>
  <si>
    <t>Amanuba Hotel</t>
  </si>
  <si>
    <t>P202</t>
  </si>
  <si>
    <t>Mrs. Maya</t>
  </si>
  <si>
    <t>Samora Group</t>
  </si>
  <si>
    <t>Mr. Oli</t>
  </si>
  <si>
    <t>+62 821-4000-4854</t>
  </si>
  <si>
    <t>P102</t>
  </si>
  <si>
    <t>PT Pesona Adi Batara</t>
  </si>
  <si>
    <t>Mrs Rini</t>
  </si>
  <si>
    <t>+62 856-1586-009</t>
  </si>
  <si>
    <t>P121</t>
  </si>
  <si>
    <t>Satpol PP Batch 2 Lido</t>
  </si>
  <si>
    <t>P123</t>
  </si>
  <si>
    <t>IPB Departement Manajemen Sumberdaya Perairan</t>
  </si>
  <si>
    <t>Campus</t>
  </si>
  <si>
    <t>+62 822 2819 8055</t>
  </si>
  <si>
    <t>Malaysia</t>
  </si>
  <si>
    <t>P052</t>
  </si>
  <si>
    <t>Mitra Pinashtika Mustika</t>
  </si>
  <si>
    <t>Mr. Ridho</t>
  </si>
  <si>
    <t>Mason pine/Botanica/Lido</t>
  </si>
  <si>
    <t>P041</t>
  </si>
  <si>
    <t>Instagram</t>
  </si>
  <si>
    <t xml:space="preserve">Nusantara Re </t>
  </si>
  <si>
    <t xml:space="preserve">Mrs Christine </t>
  </si>
  <si>
    <t>+62 815 9490 740</t>
  </si>
  <si>
    <t xml:space="preserve">R Hotel Rancamaya </t>
  </si>
  <si>
    <t>P168</t>
  </si>
  <si>
    <t>https://drive.google.com/drive/folders/1NyzmXL5Sjb2gr5iOCOu_5Og2pAOox5tm?usp=sharing</t>
  </si>
  <si>
    <t>https://drive.google.com/drive/folders/1emq0LaOw4ypwe6WGblywctr3Rl1-tBjs?usp=sharing</t>
  </si>
  <si>
    <t>P117</t>
  </si>
  <si>
    <t>M Tech Product (AGOG Expo Pte. Ltd)</t>
  </si>
  <si>
    <t>Mrs. Angie</t>
  </si>
  <si>
    <t>+62 857 1505 6534</t>
  </si>
  <si>
    <t>P105</t>
  </si>
  <si>
    <t>PT Raja Alam Raya</t>
  </si>
  <si>
    <t>Mrs. Serly</t>
  </si>
  <si>
    <t>08966626193</t>
  </si>
  <si>
    <t>5G Resort</t>
  </si>
  <si>
    <t>P111</t>
  </si>
  <si>
    <t>JCI Seminar</t>
  </si>
  <si>
    <t>Mr. Dabith</t>
  </si>
  <si>
    <t>+62 878-8188-8323</t>
  </si>
  <si>
    <t>MM2100</t>
  </si>
  <si>
    <t>P143</t>
  </si>
  <si>
    <t>Rp5.333.761</t>
  </si>
  <si>
    <t>Daimler Tuck - Prasasti</t>
  </si>
  <si>
    <t>Ms. Nasya</t>
  </si>
  <si>
    <t>+62 812-2911-5668</t>
  </si>
  <si>
    <t>P131</t>
  </si>
  <si>
    <t>PT. Abdi Cipta Persada Pratama</t>
  </si>
  <si>
    <t>Mrs. Elisa</t>
  </si>
  <si>
    <t>Villa Fajar</t>
  </si>
  <si>
    <t>P137</t>
  </si>
  <si>
    <t>Mr. Faris</t>
  </si>
  <si>
    <t>Master Chef</t>
  </si>
  <si>
    <t>P132</t>
  </si>
  <si>
    <t>Ocean Network Express</t>
  </si>
  <si>
    <t>Mr. Rifky</t>
  </si>
  <si>
    <t>P141</t>
  </si>
  <si>
    <t>Royal tulip</t>
  </si>
  <si>
    <t xml:space="preserve">Mrs Bunga </t>
  </si>
  <si>
    <t>+62 858 7083 2858</t>
  </si>
  <si>
    <t>P169</t>
  </si>
  <si>
    <t>BTN Cawang</t>
  </si>
  <si>
    <t xml:space="preserve">Mrs. Riya </t>
  </si>
  <si>
    <t>+62 812-9488-8291</t>
  </si>
  <si>
    <t>Mountriv, Sentul</t>
  </si>
  <si>
    <t>P148</t>
  </si>
  <si>
    <t>25h hotel the oddbird</t>
  </si>
  <si>
    <t>P144</t>
  </si>
  <si>
    <t>HARRIS Hotel &amp; Conventions Ciumbuleuit Bandung</t>
  </si>
  <si>
    <t>HARRIS Hotel Ciumbuleuit Bandung</t>
  </si>
  <si>
    <t>P138</t>
  </si>
  <si>
    <t>XLSmart</t>
  </si>
  <si>
    <t>Mrs, Mimie</t>
  </si>
  <si>
    <t>DreamVillee PIK</t>
  </si>
  <si>
    <t>P157</t>
  </si>
  <si>
    <t>https://drive.google.com/drive/folders/13-bsHwOKUS9nUOMOwU86Bwmlc271q7nP?usp=drive_link</t>
  </si>
  <si>
    <t>XLSmart Procurement</t>
  </si>
  <si>
    <t>Mrs. Dewi</t>
  </si>
  <si>
    <t>+62 881 1215 330</t>
  </si>
  <si>
    <t>Alam Ngariung Resort</t>
  </si>
  <si>
    <t>P153</t>
  </si>
  <si>
    <t>https://drive.google.com/drive/folders/1VHUzzu8B3fxdWLhVbwN6Bt5A7XvCW12o</t>
  </si>
  <si>
    <t>PT Antero Agung Jaya</t>
  </si>
  <si>
    <t>Ms. Lina</t>
  </si>
  <si>
    <t>+62 899 8241 238</t>
  </si>
  <si>
    <t>Pantai Indah Timur Hotel Pangandaran</t>
  </si>
  <si>
    <t>P047</t>
  </si>
  <si>
    <t>Tricada Tronik</t>
  </si>
  <si>
    <t>Mrs. Nela</t>
  </si>
  <si>
    <t>Ciwidey, Lembang, Cipanas</t>
  </si>
  <si>
    <t>P107</t>
  </si>
  <si>
    <t>Gojek</t>
  </si>
  <si>
    <t>Mrs. Jennifer</t>
  </si>
  <si>
    <t>P115</t>
  </si>
  <si>
    <t>BPJS Ketenagakerjaan</t>
  </si>
  <si>
    <t>Mrs. Ulfa</t>
  </si>
  <si>
    <t>+62 852-7157-0096</t>
  </si>
  <si>
    <t>P140</t>
  </si>
  <si>
    <t>Primaxindo</t>
  </si>
  <si>
    <t>Mrs. Vero</t>
  </si>
  <si>
    <t>P163</t>
  </si>
  <si>
    <t>Alif</t>
  </si>
  <si>
    <t xml:space="preserve">Le Eminance Cipanas </t>
  </si>
  <si>
    <t xml:space="preserve">Mr Alif </t>
  </si>
  <si>
    <t>+62 813 8901 9818</t>
  </si>
  <si>
    <t>TOG</t>
  </si>
  <si>
    <t>P059</t>
  </si>
  <si>
    <t>Family Gathering Abeng</t>
  </si>
  <si>
    <t>Mr. Abeng</t>
  </si>
  <si>
    <t>Gunung Mas Puncak</t>
  </si>
  <si>
    <t>P164</t>
  </si>
  <si>
    <t>IBS Reinsurance Broker</t>
  </si>
  <si>
    <t xml:space="preserve">Mrs STella </t>
  </si>
  <si>
    <t>+62 895 1422 3704</t>
  </si>
  <si>
    <t xml:space="preserve">Aston Sentul Lake Resort </t>
  </si>
  <si>
    <t>P167</t>
  </si>
  <si>
    <t>https://drive.google.com/drive/folders/1m9uPbqJLmDqbagBtwbA3PITCCshj8I5-?usp=sharing</t>
  </si>
  <si>
    <t>PT Clariant Adsorbent Indonesia</t>
  </si>
  <si>
    <t>Mrs. Vilia</t>
  </si>
  <si>
    <t>Lennira Resort</t>
  </si>
  <si>
    <t>P165</t>
  </si>
  <si>
    <t>JETEC</t>
  </si>
  <si>
    <t>Mrs. Lisa</t>
  </si>
  <si>
    <t>Bandung bogor</t>
  </si>
  <si>
    <t>P120</t>
  </si>
  <si>
    <t>HKPI</t>
  </si>
  <si>
    <t>Mr. Agung Haryo</t>
  </si>
  <si>
    <t>P160</t>
  </si>
  <si>
    <t>Japfa</t>
  </si>
  <si>
    <t>Japfa Learning Centre</t>
  </si>
  <si>
    <t>P110</t>
  </si>
  <si>
    <t>SR</t>
  </si>
  <si>
    <t>PT Beone Optima Solusi</t>
  </si>
  <si>
    <t>Mrs. Dhiba</t>
  </si>
  <si>
    <t>+62 812-9970-7638</t>
  </si>
  <si>
    <t>Sentul</t>
  </si>
  <si>
    <t>P155</t>
  </si>
  <si>
    <t>Balangan Coal</t>
  </si>
  <si>
    <t>Mrs. Viny</t>
  </si>
  <si>
    <t>+62 823-8342-0220</t>
  </si>
  <si>
    <t>Kab. Balangan - Kalsel</t>
  </si>
  <si>
    <t>P100</t>
  </si>
  <si>
    <t>P151</t>
  </si>
  <si>
    <t>PLN UP2B JKB</t>
  </si>
  <si>
    <t>Mr. Aan</t>
  </si>
  <si>
    <t>+ 62 852-9836-0354</t>
  </si>
  <si>
    <t>Grafika Cikole Bandung</t>
  </si>
  <si>
    <t>P193</t>
  </si>
  <si>
    <t>https://drive.google.com/drive/folders/1WGn8CYJk9r5J9LMSZmfF0_7XBzo8as6P?usp=drive_link</t>
  </si>
  <si>
    <t>Danareksa</t>
  </si>
  <si>
    <t>Mr. Luqman</t>
  </si>
  <si>
    <t>P205</t>
  </si>
  <si>
    <t>Satpol PP Batch 3 Lido</t>
  </si>
  <si>
    <t>P124</t>
  </si>
  <si>
    <t>Daimler Tuck - German Delegation Visit</t>
  </si>
  <si>
    <t>Mrs. Early</t>
  </si>
  <si>
    <t>+62 822-1621-8914</t>
  </si>
  <si>
    <t>P166</t>
  </si>
  <si>
    <t>PT Mekar Prana Indah (BIDAKARA)</t>
  </si>
  <si>
    <t>Mr Irvan</t>
  </si>
  <si>
    <t>P171</t>
  </si>
  <si>
    <t>Kampung Sampireun Garut</t>
  </si>
  <si>
    <t>P194</t>
  </si>
  <si>
    <t>https://drive.google.com/drive/folders/1AXzwDBYMM8ljzypAIgdaDrZ8JfecVX8m?usp=drive_link</t>
  </si>
  <si>
    <t>Jasa Raharja Putera Insurance</t>
  </si>
  <si>
    <t>Mr. Wisnu</t>
  </si>
  <si>
    <t>Ibis</t>
  </si>
  <si>
    <t>P158</t>
  </si>
  <si>
    <t>Satpol PP Batch 1 IBIS</t>
  </si>
  <si>
    <t>P128</t>
  </si>
  <si>
    <t>Dwidaya Tour</t>
  </si>
  <si>
    <t>Mrs. Lia</t>
  </si>
  <si>
    <t>P112</t>
  </si>
  <si>
    <t>ANTAM Resources</t>
  </si>
  <si>
    <t>Mr. Robby</t>
  </si>
  <si>
    <t>Botanica</t>
  </si>
  <si>
    <t>P142</t>
  </si>
  <si>
    <t>JLL</t>
  </si>
  <si>
    <t>Mr. Raihan</t>
  </si>
  <si>
    <t>P161</t>
  </si>
  <si>
    <t>Daimler Tuck - Family Day</t>
  </si>
  <si>
    <t>Enchanting Valley - Cisarua, Bogor</t>
  </si>
  <si>
    <t>P136</t>
  </si>
  <si>
    <t xml:space="preserve">IAS Property </t>
  </si>
  <si>
    <t>Mr. Delly</t>
  </si>
  <si>
    <t>P114</t>
  </si>
  <si>
    <t>Ceojetset</t>
  </si>
  <si>
    <t>Mrs. Imes</t>
  </si>
  <si>
    <t>+62 819-1710-9555</t>
  </si>
  <si>
    <t>Puncak/ Anyer</t>
  </si>
  <si>
    <t>P149</t>
  </si>
  <si>
    <t>RS Siloam Lippo Village Tangerang</t>
  </si>
  <si>
    <t>Mr. Roni</t>
  </si>
  <si>
    <t>P159</t>
  </si>
  <si>
    <t>Ajeng</t>
  </si>
  <si>
    <t>Mrs. Ajeng</t>
  </si>
  <si>
    <t>+62 857-1005-0069</t>
  </si>
  <si>
    <t>Pandang Lepas Coffe &amp; Eatery</t>
  </si>
  <si>
    <t>P150</t>
  </si>
  <si>
    <t>Point of View Hotel Majalengka</t>
  </si>
  <si>
    <t>P195</t>
  </si>
  <si>
    <t>https://drive.google.com/drive/folders/12DKPsgDqPJC5Azy-2iJOn8uRKcWxj_E4?usp=drive_link</t>
  </si>
  <si>
    <t>PT. Big Oase Suwarnabumi</t>
  </si>
  <si>
    <t>Mr. Adriana</t>
  </si>
  <si>
    <t>P146</t>
  </si>
  <si>
    <t>PT Arty Arum Persada</t>
  </si>
  <si>
    <t>Mrs. Arty</t>
  </si>
  <si>
    <t>Sheraton Bandung</t>
  </si>
  <si>
    <t>P162</t>
  </si>
  <si>
    <t>ATD Law</t>
  </si>
  <si>
    <t>Calista</t>
  </si>
  <si>
    <t>P139</t>
  </si>
  <si>
    <t>RSPJ Jakarta</t>
  </si>
  <si>
    <t>Mr. Sabar</t>
  </si>
  <si>
    <t>Amanuba/D'Sawah/Lenirra</t>
  </si>
  <si>
    <t>P154</t>
  </si>
  <si>
    <t>P177</t>
  </si>
  <si>
    <t>Orva Motion</t>
  </si>
  <si>
    <t>P156</t>
  </si>
  <si>
    <t>Loreal Indonesia</t>
  </si>
  <si>
    <t>Mr. Syawal</t>
  </si>
  <si>
    <t>P055</t>
  </si>
  <si>
    <t>Indonesian Forestry Certification Cooperation</t>
  </si>
  <si>
    <t>Mrs. Aura</t>
  </si>
  <si>
    <t>+62 8217 848 2489</t>
  </si>
  <si>
    <t>Amanuba</t>
  </si>
  <si>
    <t>P145</t>
  </si>
  <si>
    <t>Baginfopers Robinkar SSDM Polri</t>
  </si>
  <si>
    <t>Mrs Prista</t>
  </si>
  <si>
    <t>P190</t>
  </si>
  <si>
    <t>KPP</t>
  </si>
  <si>
    <t>Ryan</t>
  </si>
  <si>
    <t>+62 878-1533-8548</t>
  </si>
  <si>
    <t>Cisadane</t>
  </si>
  <si>
    <t>P174</t>
  </si>
  <si>
    <t>JCI (Production)</t>
  </si>
  <si>
    <t>Mr. Olingga</t>
  </si>
  <si>
    <t>+62 811-1078-998</t>
  </si>
  <si>
    <t>JIExpo</t>
  </si>
  <si>
    <t>P183</t>
  </si>
  <si>
    <t>Esa Tunggal mandiri</t>
  </si>
  <si>
    <t>Mr. Sondang</t>
  </si>
  <si>
    <t>P118</t>
  </si>
  <si>
    <t>Honda Trading Indonesia</t>
  </si>
  <si>
    <t>Mrs. Lora</t>
  </si>
  <si>
    <t>P203</t>
  </si>
  <si>
    <t>Satpol PP Batch 4 Lido</t>
  </si>
  <si>
    <t>P125</t>
  </si>
  <si>
    <t>PT DSV</t>
  </si>
  <si>
    <t>Mr Raihan</t>
  </si>
  <si>
    <t>P187</t>
  </si>
  <si>
    <t>Mrs. Lina</t>
  </si>
  <si>
    <t>Garut</t>
  </si>
  <si>
    <t>P181</t>
  </si>
  <si>
    <t>Telkom</t>
  </si>
  <si>
    <t>Mr Ian</t>
  </si>
  <si>
    <t>P188</t>
  </si>
  <si>
    <t xml:space="preserve">Nina </t>
  </si>
  <si>
    <t>PT Shell</t>
  </si>
  <si>
    <t>Mr Thymoty</t>
  </si>
  <si>
    <t>+62 823-3338-9000</t>
  </si>
  <si>
    <t>P186</t>
  </si>
  <si>
    <t>https://drive.google.com/drive/folders/1RS_Z2pmEX8t9H5HRaDp5wkYVYUcjtyo2?usp=sharing</t>
  </si>
  <si>
    <t>KMK Group</t>
  </si>
  <si>
    <t>Mrs Alyshya</t>
  </si>
  <si>
    <t>P189</t>
  </si>
  <si>
    <t>Trilogi</t>
  </si>
  <si>
    <t>Mrs Amy</t>
  </si>
  <si>
    <t>P113</t>
  </si>
  <si>
    <t>JAPFA</t>
  </si>
  <si>
    <t>JAPFA Learning Centre</t>
  </si>
  <si>
    <t>P172</t>
  </si>
  <si>
    <t>Yayasan Ihyaul Makmurul Masajid</t>
  </si>
  <si>
    <t>Mrs. Herlina Eva</t>
  </si>
  <si>
    <t>P216</t>
  </si>
  <si>
    <t>Balangan Coal - BCIC 2025</t>
  </si>
  <si>
    <t>Mrs. Adella</t>
  </si>
  <si>
    <t>+62 822-9559-8321</t>
  </si>
  <si>
    <t>Balangan Coal Site &amp; Aston Tanjung</t>
  </si>
  <si>
    <t>P191</t>
  </si>
  <si>
    <t>Embassy of The Netherlands</t>
  </si>
  <si>
    <t>P231</t>
  </si>
  <si>
    <t>Satpol PP Batch 2 IBIS</t>
  </si>
  <si>
    <t>P129</t>
  </si>
  <si>
    <t>PLN UP3 Cikokol</t>
  </si>
  <si>
    <t>Mr. Jimmy</t>
  </si>
  <si>
    <t>P209</t>
  </si>
  <si>
    <t>PT Nestle Indonesia</t>
  </si>
  <si>
    <t>Mrs. Adiva</t>
  </si>
  <si>
    <t>Cooking Race</t>
  </si>
  <si>
    <t>P206</t>
  </si>
  <si>
    <t>Wuling Motor</t>
  </si>
  <si>
    <t>Mrs. Shyntia</t>
  </si>
  <si>
    <t>P173</t>
  </si>
  <si>
    <t>PT Angkasa Pura</t>
  </si>
  <si>
    <t>Mrs. Desiane Aisha Mayangsari</t>
  </si>
  <si>
    <t>+62 821-2121-4997</t>
  </si>
  <si>
    <t>Lembang - Bandung</t>
  </si>
  <si>
    <t>P184</t>
  </si>
  <si>
    <t>SWG</t>
  </si>
  <si>
    <t>Pulau Bidadari</t>
  </si>
  <si>
    <t>P152</t>
  </si>
  <si>
    <t>Ucie</t>
  </si>
  <si>
    <t>Mr. Sendi</t>
  </si>
  <si>
    <t>Seruni</t>
  </si>
  <si>
    <t>P200</t>
  </si>
  <si>
    <t xml:space="preserve">Agus </t>
  </si>
  <si>
    <t xml:space="preserve">Mr Agus </t>
  </si>
  <si>
    <t>D Sawah</t>
  </si>
  <si>
    <t>P211</t>
  </si>
  <si>
    <t>Bank Rasona Perdania</t>
  </si>
  <si>
    <t>P199</t>
  </si>
  <si>
    <t xml:space="preserve">Rai Lenirra </t>
  </si>
  <si>
    <t>Tetangga satu hati - Moms Erdua</t>
  </si>
  <si>
    <t>LenirraVilla &amp; Resto</t>
  </si>
  <si>
    <t>P222</t>
  </si>
  <si>
    <t>Satpol PP Batch 5 Lido</t>
  </si>
  <si>
    <t>P126</t>
  </si>
  <si>
    <t>Ms. Ivanna</t>
  </si>
  <si>
    <t>P182</t>
  </si>
  <si>
    <t>https://drive.google.com/drive/folders/19tldBPUEzIcYlPwApaOJ5kPBUrDNLuHq?usp=sharing</t>
  </si>
  <si>
    <t>Royal Safari Garden</t>
  </si>
  <si>
    <t>P223</t>
  </si>
  <si>
    <t>https://drive.google.com/drive/folders/1aSqevx1lsnk-G1-IkTvuL4FlO2Z37ZC3?usp=drive_link</t>
  </si>
  <si>
    <t>PT. Guthrie International Pratama Indonesia</t>
  </si>
  <si>
    <t>Mr. Ebtario</t>
  </si>
  <si>
    <t>+62 812 8032 4886</t>
  </si>
  <si>
    <t>Malang atau Lombok</t>
  </si>
  <si>
    <t>P106</t>
  </si>
  <si>
    <t>Arrizal</t>
  </si>
  <si>
    <t>Metler Toledo</t>
  </si>
  <si>
    <t>Mr. Arrizal</t>
  </si>
  <si>
    <t>Gaia Hotel Bandung</t>
  </si>
  <si>
    <t>P214</t>
  </si>
  <si>
    <t>RDS EO</t>
  </si>
  <si>
    <t xml:space="preserve">Mr Robert </t>
  </si>
  <si>
    <t>+ 62 818-0805-0903</t>
  </si>
  <si>
    <t>P197</t>
  </si>
  <si>
    <t>Maya</t>
  </si>
  <si>
    <t>Reuni Imigrasi</t>
  </si>
  <si>
    <t>Mr. Zikri</t>
  </si>
  <si>
    <t>P229</t>
  </si>
  <si>
    <t>https://drive.google.com/drive/folders/1jPBFTyIh82qCXP2yO0m2hwyzcQtOkAaZ?usp=sharing</t>
  </si>
  <si>
    <t xml:space="preserve">Godrej Consumer </t>
  </si>
  <si>
    <t xml:space="preserve">Mrs Lia </t>
  </si>
  <si>
    <t>+62 857-9984-2362</t>
  </si>
  <si>
    <t>VIlla Citeko</t>
  </si>
  <si>
    <t>P217</t>
  </si>
  <si>
    <t>MPM</t>
  </si>
  <si>
    <t>Mr. Rasyid Ridho</t>
  </si>
  <si>
    <t>L'eminence</t>
  </si>
  <si>
    <t>P196</t>
  </si>
  <si>
    <t>PT Levi Strauss Indonesia</t>
  </si>
  <si>
    <t>Mrs. Yessica</t>
  </si>
  <si>
    <t>P147</t>
  </si>
  <si>
    <t>PT Asahi Denso Indonesia</t>
  </si>
  <si>
    <t>Mrs. Afri</t>
  </si>
  <si>
    <t>+62 819-0117-0283</t>
  </si>
  <si>
    <t>P179</t>
  </si>
  <si>
    <t>FK IPB UNiversity</t>
  </si>
  <si>
    <t>Mrs. Rossita</t>
  </si>
  <si>
    <t>P226</t>
  </si>
  <si>
    <t>Mrs Ayu</t>
  </si>
  <si>
    <t>+62 818-0714-1653</t>
  </si>
  <si>
    <t>P208</t>
  </si>
  <si>
    <t>Bank UOB</t>
  </si>
  <si>
    <t>P233</t>
  </si>
  <si>
    <t>Mrs . Johana</t>
  </si>
  <si>
    <t>JTLC</t>
  </si>
  <si>
    <t>P210</t>
  </si>
  <si>
    <t xml:space="preserve">Reuni 30th Gepentus </t>
  </si>
  <si>
    <t>Mr Suhartoyo</t>
  </si>
  <si>
    <t>+62 811 177 917</t>
  </si>
  <si>
    <t>P178</t>
  </si>
  <si>
    <t>Biben</t>
  </si>
  <si>
    <t>PT KMI Wire &amp; Cable Tbk</t>
  </si>
  <si>
    <t>Mr. Tamam</t>
  </si>
  <si>
    <t>P198</t>
  </si>
  <si>
    <t>PT Hilti Indonesia</t>
  </si>
  <si>
    <t>Mrs. Citra</t>
  </si>
  <si>
    <t>Hotel Grand Aston Puncak</t>
  </si>
  <si>
    <t>P237</t>
  </si>
  <si>
    <t>Jiwa Group Cep Ridho</t>
  </si>
  <si>
    <t>Mr. Rusli</t>
  </si>
  <si>
    <t>+62 822-1621-5198</t>
  </si>
  <si>
    <t>P180</t>
  </si>
  <si>
    <t>Biro KLI Kemenkeu RI</t>
  </si>
  <si>
    <t>Mr. Ahmad</t>
  </si>
  <si>
    <t>+62 857-1081-4456</t>
  </si>
  <si>
    <t>KPPN Bogor</t>
  </si>
  <si>
    <t>P227</t>
  </si>
  <si>
    <t>MMC Hospital</t>
  </si>
  <si>
    <t>Fatma</t>
  </si>
  <si>
    <t>+62 896-3645-4279</t>
  </si>
  <si>
    <t>P236</t>
  </si>
  <si>
    <t>AR</t>
  </si>
  <si>
    <t>Bayo Communications</t>
  </si>
  <si>
    <t>Mrs. Nafila Hisara</t>
  </si>
  <si>
    <t>+62 877-6563-5244</t>
  </si>
  <si>
    <t>TBA</t>
  </si>
  <si>
    <t>P207</t>
  </si>
  <si>
    <t xml:space="preserve">Danone Indonesia </t>
  </si>
  <si>
    <t>Mrs Melissa</t>
  </si>
  <si>
    <t>P185</t>
  </si>
  <si>
    <t>PT Bank Resona Perdania</t>
  </si>
  <si>
    <t>P192</t>
  </si>
  <si>
    <t>Sony Indonesia</t>
  </si>
  <si>
    <t>Mrs Ira</t>
  </si>
  <si>
    <t>Dreamville PIK</t>
  </si>
  <si>
    <t>P218</t>
  </si>
  <si>
    <t xml:space="preserve">Nuffic Souteast Asia </t>
  </si>
  <si>
    <t>Mrs. Cindy</t>
  </si>
  <si>
    <t>+62</t>
  </si>
  <si>
    <t>P232</t>
  </si>
  <si>
    <t>Togar</t>
  </si>
  <si>
    <t>Bank BNI</t>
  </si>
  <si>
    <t>Mrs. Kiky</t>
  </si>
  <si>
    <t>P240</t>
  </si>
  <si>
    <t>Basit</t>
  </si>
  <si>
    <t>Ibik Kessatuan</t>
  </si>
  <si>
    <t>Mr. Charles</t>
  </si>
  <si>
    <t>Puri Begawan</t>
  </si>
  <si>
    <t>P212</t>
  </si>
  <si>
    <t>Ibik Kesatuan</t>
  </si>
  <si>
    <t>P213</t>
  </si>
  <si>
    <t>ok</t>
  </si>
  <si>
    <t>DCVI</t>
  </si>
  <si>
    <t>Mr. Garin Hidayat</t>
  </si>
  <si>
    <t>+62 812-1272-8065</t>
  </si>
  <si>
    <t>Taman Safari Indonesia - Cisarua</t>
  </si>
  <si>
    <t>P116</t>
  </si>
  <si>
    <t>Out Standing</t>
  </si>
  <si>
    <t>Satpol PP Batch 6 Lido</t>
  </si>
  <si>
    <t>P127</t>
  </si>
  <si>
    <t>Daimler Tuck - Supplier Gathering</t>
  </si>
  <si>
    <t>P134</t>
  </si>
  <si>
    <t>Indonesia Power</t>
  </si>
  <si>
    <t xml:space="preserve">Mr. Wahyu Pribadi	 </t>
  </si>
  <si>
    <t>P243</t>
  </si>
  <si>
    <t>Okta</t>
  </si>
  <si>
    <t>Kemenhub DNP</t>
  </si>
  <si>
    <t>Mrs. Okta</t>
  </si>
  <si>
    <t>Hotel Haris CCM</t>
  </si>
  <si>
    <t>P215</t>
  </si>
  <si>
    <t>Anna</t>
  </si>
  <si>
    <t>Purnomo Yusgiantoro Centre (PYC)</t>
  </si>
  <si>
    <t>Mrs. Syavira Amir</t>
  </si>
  <si>
    <t>+62 859-3467-2167</t>
  </si>
  <si>
    <t>Mason Pine Hotel</t>
  </si>
  <si>
    <t>P201</t>
  </si>
  <si>
    <t>New Balance</t>
  </si>
  <si>
    <t>+62 8111 0888 22</t>
  </si>
  <si>
    <t>P239</t>
  </si>
  <si>
    <t>Dana Pensiun BRI</t>
  </si>
  <si>
    <t>Mrs. Rani</t>
  </si>
  <si>
    <t>P220</t>
  </si>
  <si>
    <t>Rumah Sakit Cipto Mangunkusumo</t>
  </si>
  <si>
    <t>Mrs Salma</t>
  </si>
  <si>
    <t>+62 811-2822-512</t>
  </si>
  <si>
    <t>P225</t>
  </si>
  <si>
    <t>Daidan Group</t>
  </si>
  <si>
    <t>Mrs. Hani</t>
  </si>
  <si>
    <t>Bali</t>
  </si>
  <si>
    <t>P204</t>
  </si>
  <si>
    <t>KAI</t>
  </si>
  <si>
    <t>Mr. Yassir</t>
  </si>
  <si>
    <t>+62 878-0973-1921</t>
  </si>
  <si>
    <t>P246</t>
  </si>
  <si>
    <t>Bank Index</t>
  </si>
  <si>
    <t xml:space="preserve">Mr. Frizt </t>
  </si>
  <si>
    <t>Le Eminence</t>
  </si>
  <si>
    <t>P176</t>
  </si>
  <si>
    <t>HSBC</t>
  </si>
  <si>
    <t>Mr. Indra</t>
  </si>
  <si>
    <t>+62 811 8816 119</t>
  </si>
  <si>
    <t>P251</t>
  </si>
  <si>
    <t>PT Indolife Pentiontama</t>
  </si>
  <si>
    <t>Mrs. Kristin</t>
  </si>
  <si>
    <t>P219</t>
  </si>
  <si>
    <t>Gold Star Line</t>
  </si>
  <si>
    <t>Mrs. Flora</t>
  </si>
  <si>
    <t>+62 811-9346-93</t>
  </si>
  <si>
    <t>Hotel Jakarta</t>
  </si>
  <si>
    <t>P228</t>
  </si>
  <si>
    <t>PT Non Ferindo Utama</t>
  </si>
  <si>
    <t>Mrs. Lintang</t>
  </si>
  <si>
    <t>P238</t>
  </si>
  <si>
    <t>Gapura Angkasa</t>
  </si>
  <si>
    <t>Mrs. Turyati</t>
  </si>
  <si>
    <t>+62 812 9393 0731</t>
  </si>
  <si>
    <t>P224</t>
  </si>
  <si>
    <t>Infineon Technologies</t>
  </si>
  <si>
    <t>Mrs. Yuni</t>
  </si>
  <si>
    <t>+62 831-9112-0375</t>
  </si>
  <si>
    <t xml:space="preserve">Mason Pine </t>
  </si>
  <si>
    <t>P234</t>
  </si>
  <si>
    <t>DP 1</t>
  </si>
  <si>
    <t>DJKN Kemenkeu</t>
  </si>
  <si>
    <t>Fajar Perdana</t>
  </si>
  <si>
    <t>+62 878 8531 0313</t>
  </si>
  <si>
    <t>Hotel Trembesi BSD</t>
  </si>
  <si>
    <t>P255</t>
  </si>
  <si>
    <t>Doni</t>
  </si>
  <si>
    <t>JC</t>
  </si>
  <si>
    <t>RUKINDO</t>
  </si>
  <si>
    <t>Harmoni Garut</t>
  </si>
  <si>
    <t>P249</t>
  </si>
  <si>
    <t>DP 2</t>
  </si>
  <si>
    <t>Bella</t>
  </si>
  <si>
    <t xml:space="preserve">KALBE </t>
  </si>
  <si>
    <t>Mrs. Gebby</t>
  </si>
  <si>
    <t>P230</t>
  </si>
  <si>
    <t>Vasanta Group</t>
  </si>
  <si>
    <t>Mrs. Angel</t>
  </si>
  <si>
    <t>P241</t>
  </si>
  <si>
    <t>.</t>
  </si>
  <si>
    <t>Biro Psikologi SSDM POLRI</t>
  </si>
  <si>
    <t>Mrs. Dea</t>
  </si>
  <si>
    <t>+62 821 2097 7295</t>
  </si>
  <si>
    <t>Grand Aston Puncak</t>
  </si>
  <si>
    <t>P242</t>
  </si>
  <si>
    <t>Pertamina Hulu Energi</t>
  </si>
  <si>
    <t>Mrs. Alya Hanifah</t>
  </si>
  <si>
    <t>+62 812 8077 6634</t>
  </si>
  <si>
    <t>P250</t>
  </si>
  <si>
    <t>Daimler Tuck - Garden Dinner</t>
  </si>
  <si>
    <t>P252</t>
  </si>
  <si>
    <t xml:space="preserve">Opick </t>
  </si>
  <si>
    <t xml:space="preserve">Kementan </t>
  </si>
  <si>
    <t>P254</t>
  </si>
  <si>
    <t>GS Battery Karawang</t>
  </si>
  <si>
    <t>Mr. Jabber</t>
  </si>
  <si>
    <t>+62 857-4965-3164</t>
  </si>
  <si>
    <t>P245</t>
  </si>
  <si>
    <t>Daimler Trcuk Garden Dinner</t>
  </si>
  <si>
    <t>P253</t>
  </si>
  <si>
    <t>Badan Mutu KKP Jakarta I</t>
  </si>
  <si>
    <t>Mr. Farez</t>
  </si>
  <si>
    <t>+62 813‑6371‑8004‬‬‪‪‪</t>
  </si>
  <si>
    <t>Jimmers Mountain</t>
  </si>
  <si>
    <t>P248</t>
  </si>
  <si>
    <t>P247</t>
  </si>
  <si>
    <t>PT Alto</t>
  </si>
  <si>
    <t>+62 822-9858-4512</t>
  </si>
  <si>
    <t>P244</t>
  </si>
  <si>
    <t>PT. MSA Safety Company Indonesia</t>
  </si>
  <si>
    <t>Mr. Suratno</t>
  </si>
  <si>
    <t>P221</t>
  </si>
  <si>
    <t>Permana Tour</t>
  </si>
  <si>
    <t>Mr. Andrian</t>
  </si>
  <si>
    <t>P175</t>
  </si>
  <si>
    <t>June-2025</t>
  </si>
  <si>
    <t>P073</t>
  </si>
  <si>
    <t>PT Arvia Pratama Tiara - Semarang</t>
  </si>
  <si>
    <t>Mr. Paulus</t>
  </si>
  <si>
    <t>+62 813-2508-8022</t>
  </si>
  <si>
    <t>paulus_harianto@yahoo.com</t>
  </si>
  <si>
    <t>Semarang</t>
  </si>
  <si>
    <t>P044</t>
  </si>
  <si>
    <t>DPRD Sukabumi</t>
  </si>
  <si>
    <t>Astri</t>
  </si>
  <si>
    <t>Hutan Pinus Lembang</t>
  </si>
  <si>
    <t>P080</t>
  </si>
  <si>
    <t>JCI Merchandise dan Compro</t>
  </si>
  <si>
    <t>Mrs. Tisa Hutagalung</t>
  </si>
  <si>
    <t>+62 811-8162-864</t>
  </si>
  <si>
    <t>P099</t>
  </si>
  <si>
    <t>RS Azra Bogor</t>
  </si>
  <si>
    <t>Mrs. Sita</t>
  </si>
  <si>
    <t>0877 8919 4277</t>
  </si>
  <si>
    <t>Ciwidey atau Lembang</t>
  </si>
  <si>
    <t>P108</t>
  </si>
  <si>
    <t>PT Multipolar Technology</t>
  </si>
  <si>
    <t>Mr. Leo</t>
  </si>
  <si>
    <t>P235</t>
  </si>
  <si>
    <t>Daimler Trcuk CSR</t>
  </si>
  <si>
    <t>Otih</t>
  </si>
  <si>
    <t>+62 821-2424-7441</t>
  </si>
  <si>
    <t>SDN 2 Sukadami</t>
  </si>
  <si>
    <t>P256</t>
  </si>
  <si>
    <t>Air Nav</t>
  </si>
  <si>
    <t xml:space="preserve">Isabella </t>
  </si>
  <si>
    <t>62 813-8854-8893</t>
  </si>
  <si>
    <t>P257</t>
  </si>
  <si>
    <t>PT Timah TBK</t>
  </si>
  <si>
    <t>Rihar</t>
  </si>
  <si>
    <t>+62 812-7362-1609</t>
  </si>
  <si>
    <t>P258</t>
  </si>
  <si>
    <t>JCI</t>
  </si>
  <si>
    <t>Aghysti</t>
  </si>
  <si>
    <t>+62 812-5003-5791</t>
  </si>
  <si>
    <t>P259</t>
  </si>
  <si>
    <t>Dabith</t>
  </si>
  <si>
    <t>P260</t>
  </si>
  <si>
    <t>P261</t>
  </si>
  <si>
    <t>Daimler Trcuk Chrismast Tree</t>
  </si>
  <si>
    <t>Yessi</t>
  </si>
  <si>
    <t>P262</t>
  </si>
  <si>
    <t>Additional Meals Supplier Day</t>
  </si>
  <si>
    <t>P263</t>
  </si>
  <si>
    <t>BNI 46</t>
  </si>
  <si>
    <t>Alana</t>
  </si>
  <si>
    <t>P264</t>
  </si>
  <si>
    <t>Employee List</t>
  </si>
  <si>
    <t>Inquiry By</t>
  </si>
  <si>
    <t>Category Company</t>
  </si>
  <si>
    <t>Event Category</t>
  </si>
  <si>
    <t>Program</t>
  </si>
  <si>
    <t>TB</t>
  </si>
  <si>
    <t>SUM of Budget (Rp)</t>
  </si>
  <si>
    <t>COUNTA of Quotation Number</t>
  </si>
  <si>
    <t>Target Revenue 2025</t>
  </si>
  <si>
    <t>SUM of Target</t>
  </si>
  <si>
    <t>Mohammad Ramli</t>
  </si>
  <si>
    <t>Employee ID</t>
  </si>
  <si>
    <t>Employee Name</t>
  </si>
  <si>
    <t>Contact</t>
  </si>
  <si>
    <t>Jaka Iklas Pratama</t>
  </si>
  <si>
    <t>+62 896 0113 1400</t>
  </si>
  <si>
    <t>PB</t>
  </si>
  <si>
    <t>Ridho Abdullah</t>
  </si>
  <si>
    <t>+62 821 1299 7371</t>
  </si>
  <si>
    <t>Syarah Syukrilah</t>
  </si>
  <si>
    <t>+62 858 8882 8443</t>
  </si>
  <si>
    <t>ARC</t>
  </si>
  <si>
    <t>Light Spirit</t>
  </si>
  <si>
    <t>DS</t>
  </si>
  <si>
    <t>+62 858 9020 6621</t>
  </si>
  <si>
    <t>Grand Total</t>
  </si>
  <si>
    <t>Arin Fitria</t>
  </si>
  <si>
    <t>+62 811 1103 389</t>
  </si>
  <si>
    <t>Taufan Hidayat</t>
  </si>
  <si>
    <t>+62 857 8031 3089</t>
  </si>
  <si>
    <t>Putera Katresna</t>
  </si>
  <si>
    <t>+62 858 1437 1788</t>
  </si>
  <si>
    <t>M.Syahrul Ramadhan</t>
  </si>
  <si>
    <t>+62 812 9730 9703</t>
  </si>
  <si>
    <t>+62 896 5180 7061</t>
  </si>
  <si>
    <t>+62 857 7407 3054</t>
  </si>
  <si>
    <t>+62 821 1191 0614</t>
  </si>
  <si>
    <t>+62 812 9749 9543</t>
  </si>
  <si>
    <t>+62 822 4961 6181</t>
  </si>
  <si>
    <t>SUM of SUM of Target</t>
  </si>
  <si>
    <t xml:space="preserve"> Task ID</t>
  </si>
  <si>
    <t>COUNTA of Program Status</t>
  </si>
  <si>
    <t>COUNTA of PM</t>
  </si>
  <si>
    <t>Values</t>
  </si>
  <si>
    <t>SUM of QTY</t>
  </si>
  <si>
    <t>JHD</t>
  </si>
  <si>
    <t xml:space="preserve"> Total</t>
  </si>
  <si>
    <t>AR Total</t>
  </si>
  <si>
    <t>BR Total</t>
  </si>
  <si>
    <t>MDL Total</t>
  </si>
  <si>
    <t>MWB  Total</t>
  </si>
  <si>
    <t>OME Total</t>
  </si>
  <si>
    <t>RA Total</t>
  </si>
  <si>
    <t>SB Total</t>
  </si>
  <si>
    <t>SYS Total</t>
  </si>
  <si>
    <t>TF Total</t>
  </si>
  <si>
    <t>UT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</si>
</sst>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 mmmm yyyy"/>
    <numFmt numFmtId="165" formatCode="&quot;$&quot;#,##0"/>
    <numFmt numFmtId="166" formatCode="[$Rp]#,##0"/>
    <numFmt numFmtId="167" formatCode="d-mmm-yyyy"/>
    <numFmt numFmtId="168" formatCode="d&quot;-&quot;mmm&quot;-&quot;yyyy"/>
    <numFmt numFmtId="169" formatCode="M/d/yyyy"/>
    <numFmt numFmtId="170" formatCode="m/d/yyyy"/>
    <numFmt numFmtId="171" formatCode="d- mmmm-yyyy"/>
    <numFmt numFmtId="172" formatCode="mmm yyyy"/>
    <numFmt numFmtId="173" formatCode="_(&quot;$&quot;* #,##0_);_(&quot;$&quot;* \(#,##0\);_(&quot;$&quot;* &quot;-&quot;??_);_(@_)"/>
  </numFmts>
  <fonts count="83">
    <font>
      <sz val="10.0"/>
      <color rgb="FF000000"/>
      <name val="Verdana"/>
      <scheme val="minor"/>
    </font>
    <font>
      <color theme="1"/>
      <name val="Arial"/>
    </font>
    <font>
      <b/>
      <sz val="15.0"/>
      <color theme="1"/>
      <name val="Arial"/>
    </font>
    <font/>
    <font>
      <sz val="9.0"/>
      <color theme="1"/>
      <name val="Arial"/>
    </font>
    <font>
      <sz val="9.0"/>
      <color rgb="FF005975"/>
      <name val="Arial"/>
    </font>
    <font>
      <b/>
      <sz val="20.0"/>
      <color rgb="FF000000"/>
      <name val="Arial"/>
    </font>
    <font>
      <b/>
      <sz val="9.0"/>
      <color theme="1"/>
      <name val="Arial"/>
    </font>
    <font>
      <color rgb="FFF8FCEB"/>
      <name val="Helvetica Neue"/>
    </font>
    <font>
      <b/>
      <sz val="25.0"/>
      <color rgb="FFF8FCEB"/>
      <name val="Raleway"/>
    </font>
    <font>
      <color theme="1"/>
      <name val="Verdana"/>
      <scheme val="minor"/>
    </font>
    <font>
      <b/>
      <sz val="60.0"/>
      <color rgb="FFF8FCEB"/>
      <name val="Helvetica Neue"/>
    </font>
    <font>
      <b/>
      <sz val="21.0"/>
      <color rgb="FFF8FCEB"/>
      <name val="Raleway"/>
    </font>
    <font>
      <b/>
      <sz val="14.0"/>
      <color rgb="FFF8FCEB"/>
      <name val="Helvetica Neue"/>
    </font>
    <font>
      <b/>
      <sz val="15.0"/>
      <color rgb="FFF8FCEB"/>
      <name val="Helvetica Neue"/>
    </font>
    <font>
      <b/>
      <sz val="40.0"/>
      <color rgb="FFF8FCEB"/>
      <name val="Helvetica Neue"/>
    </font>
    <font>
      <b/>
      <sz val="11.0"/>
      <color rgb="FFF8FCEB"/>
      <name val="Raleway"/>
    </font>
    <font>
      <color theme="0"/>
      <name val="Verdana"/>
      <scheme val="minor"/>
    </font>
    <font>
      <b/>
      <sz val="50.0"/>
      <color rgb="FFF8FCEB"/>
      <name val="Helvetica Neue"/>
    </font>
    <font>
      <color rgb="FFFFFFFF"/>
      <name val="Verdana"/>
      <scheme val="minor"/>
    </font>
    <font>
      <sz val="9.0"/>
      <color rgb="FFF8FCEB"/>
      <name val="Raleway"/>
    </font>
    <font>
      <color theme="1"/>
      <name val="Helvetica Neue"/>
    </font>
    <font>
      <b/>
      <sz val="9.0"/>
      <color rgb="FFF8FCEB"/>
      <name val="Helvetica Neue"/>
    </font>
    <font>
      <color rgb="FFF8FCEB"/>
      <name val="Verdana"/>
      <scheme val="minor"/>
    </font>
    <font>
      <sz val="11.0"/>
      <color theme="1"/>
      <name val="Helvetica Neue"/>
    </font>
    <font>
      <b/>
      <sz val="18.0"/>
      <color rgb="FFF8FCEB"/>
      <name val="Raleway"/>
    </font>
    <font>
      <sz val="12.0"/>
      <color rgb="FFF8FCEB"/>
      <name val="Helvetica Neue"/>
    </font>
    <font>
      <b/>
      <sz val="24.0"/>
      <color rgb="FFF8FCEB"/>
      <name val="Raleway"/>
    </font>
    <font>
      <color rgb="FF333C4A"/>
      <name val="Verdana"/>
      <scheme val="minor"/>
    </font>
    <font>
      <b/>
      <sz val="42.0"/>
      <color rgb="FFEA9999"/>
      <name val="Helvetica Neue"/>
    </font>
    <font>
      <sz val="13.0"/>
      <color rgb="FFF8FCEB"/>
      <name val="Helvetica Neue"/>
    </font>
    <font>
      <b/>
      <sz val="14.0"/>
      <color rgb="FFF8FCEB"/>
      <name val="Raleway"/>
    </font>
    <font>
      <sz val="14.0"/>
      <color rgb="FFF8FCEB"/>
      <name val="Helvetica Neue"/>
    </font>
    <font>
      <color rgb="FFF8FCEB"/>
      <name val="Raleway"/>
    </font>
    <font>
      <b/>
      <sz val="44.0"/>
      <color rgb="FFEA9999"/>
      <name val="Helvetica Neue"/>
    </font>
    <font>
      <b/>
      <sz val="44.0"/>
      <color rgb="FFF9CB9C"/>
      <name val="Helvetica Neue"/>
    </font>
    <font>
      <b/>
      <sz val="15.0"/>
      <color rgb="FFF8FCEB"/>
      <name val="Raleway"/>
    </font>
    <font>
      <sz val="21.0"/>
      <color rgb="FFF8FCEB"/>
      <name val="Helvetica Neue"/>
    </font>
    <font>
      <sz val="12.0"/>
      <color rgb="FFF8FCEB"/>
      <name val="Arimo"/>
    </font>
    <font>
      <b/>
      <sz val="11.0"/>
      <color theme="1"/>
      <name val="Lato"/>
    </font>
    <font>
      <b/>
      <u/>
      <sz val="11.0"/>
      <color rgb="FF202124"/>
      <name val="Lato"/>
    </font>
    <font>
      <b/>
      <u/>
      <sz val="11.0"/>
      <color rgb="FF202124"/>
      <name val="Lato"/>
    </font>
    <font>
      <b/>
      <sz val="24.0"/>
      <color theme="1"/>
      <name val="Verdana"/>
      <scheme val="minor"/>
    </font>
    <font>
      <sz val="12.0"/>
      <color theme="1"/>
      <name val="Verdana"/>
      <scheme val="minor"/>
    </font>
    <font>
      <b/>
      <sz val="12.0"/>
      <color rgb="FFF8FCEB"/>
      <name val="Verdana"/>
      <scheme val="minor"/>
    </font>
    <font>
      <sz val="7.0"/>
      <color theme="1"/>
      <name val="Verdana"/>
      <scheme val="minor"/>
    </font>
    <font>
      <b/>
      <sz val="7.0"/>
      <color theme="1"/>
      <name val="Helvetica Neue"/>
    </font>
    <font>
      <sz val="10.0"/>
      <color theme="1"/>
      <name val="Helvetica Neue"/>
    </font>
    <font>
      <u/>
      <sz val="11.0"/>
      <color rgb="FF0000FF"/>
      <name val="Helvetica Neue"/>
    </font>
    <font>
      <u/>
      <sz val="10.0"/>
      <color rgb="FF0000FF"/>
      <name val="Helvetica Neue"/>
    </font>
    <font>
      <u/>
      <sz val="11.0"/>
      <color rgb="FF0000FF"/>
      <name val="Helvetica Neue"/>
    </font>
    <font>
      <u/>
      <sz val="11.0"/>
      <color rgb="FF0000FF"/>
      <name val="Helvetica Neue"/>
    </font>
    <font>
      <sz val="11.0"/>
      <color theme="1"/>
      <name val="Verdana"/>
      <scheme val="minor"/>
    </font>
    <font>
      <sz val="10.0"/>
      <color theme="1"/>
      <name val="Verdana"/>
      <scheme val="minor"/>
    </font>
    <font>
      <u/>
      <sz val="10.0"/>
      <color theme="1"/>
      <name val="Verdana"/>
      <scheme val="minor"/>
    </font>
    <font>
      <sz val="11.0"/>
      <color rgb="FF434343"/>
      <name val="Roboto"/>
    </font>
    <font>
      <color rgb="FF434343"/>
      <name val="Roboto"/>
    </font>
    <font>
      <u/>
      <sz val="10.0"/>
      <color rgb="FF0000FF"/>
    </font>
    <font>
      <u/>
      <sz val="11.0"/>
      <color rgb="FF0000FF"/>
      <name val="Helvetica Neue"/>
    </font>
    <font>
      <u/>
      <sz val="11.0"/>
      <color rgb="FF0000FF"/>
      <name val="Helvetica Neue"/>
    </font>
    <font>
      <u/>
      <sz val="11.0"/>
      <color rgb="FF0000FF"/>
      <name val="Helvetica Neue"/>
    </font>
    <font>
      <u/>
      <sz val="10.0"/>
      <color rgb="FF0000FF"/>
    </font>
    <font>
      <b/>
      <sz val="11.0"/>
      <color theme="1"/>
      <name val="Helvetica Neue"/>
    </font>
    <font>
      <sz val="11.0"/>
      <color theme="1"/>
      <name val="Calibri"/>
    </font>
    <font>
      <u/>
      <sz val="10.0"/>
      <color rgb="FF0000FF"/>
    </font>
    <font>
      <color theme="1"/>
      <name val="Verdana"/>
    </font>
    <font>
      <sz val="11.0"/>
      <color theme="1"/>
      <name val="Verdana"/>
    </font>
    <font>
      <sz val="13.0"/>
      <color theme="1"/>
      <name val="Calibri"/>
    </font>
    <font>
      <u/>
      <color rgb="FF0000FF"/>
    </font>
    <font>
      <u/>
      <sz val="10.0"/>
      <color rgb="FF0000FF"/>
    </font>
    <font>
      <u/>
      <color rgb="FF0000FF"/>
    </font>
    <font>
      <u/>
      <color rgb="FF0091DE"/>
      <name val="Verdana"/>
    </font>
    <font>
      <u/>
      <color rgb="FF0000FF"/>
      <name val="Verdana"/>
    </font>
    <font>
      <sz val="10.0"/>
      <color theme="4"/>
      <name val="Verdana"/>
      <scheme val="minor"/>
    </font>
    <font>
      <u/>
      <color rgb="FF0000FF"/>
      <name val="Verdana"/>
    </font>
    <font>
      <u/>
      <color rgb="FF0091DE"/>
      <name val="Verdana"/>
    </font>
    <font>
      <u/>
      <color rgb="FF0000FF"/>
      <name val="Verdana"/>
    </font>
    <font>
      <b/>
      <sz val="20.0"/>
      <color rgb="FFF8FCEB"/>
      <name val="Arimo"/>
    </font>
    <font>
      <b/>
      <sz val="14.0"/>
      <color rgb="FFF8FCEB"/>
      <name val="Verdana"/>
      <scheme val="minor"/>
    </font>
    <font>
      <color theme="1"/>
      <name val="Arimo"/>
    </font>
    <font>
      <b/>
      <sz val="12.0"/>
      <color theme="1"/>
      <name val="Arimo"/>
    </font>
    <font>
      <sz val="11.0"/>
      <color theme="1"/>
      <name val="Arimo"/>
    </font>
    <font>
      <b/>
      <color theme="1"/>
      <name val="Verdana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333C4A"/>
        <bgColor rgb="FF333C4A"/>
      </patternFill>
    </fill>
    <fill>
      <patternFill patternType="solid">
        <fgColor rgb="FF495664"/>
        <bgColor rgb="FF495664"/>
      </patternFill>
    </fill>
    <fill>
      <patternFill patternType="solid">
        <fgColor rgb="FF6E7985"/>
        <bgColor rgb="FF6E7985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6C7687"/>
      </top>
    </border>
    <border>
      <bottom style="dotted">
        <color rgb="FF8996A3"/>
      </bottom>
    </border>
    <border>
      <top style="dotted">
        <color rgb="FF8996A3"/>
      </top>
    </border>
    <border>
      <top style="thin">
        <color rgb="FF333C4A"/>
      </top>
    </border>
    <border>
      <right style="thick">
        <color rgb="FF000000"/>
      </right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</border>
    <border>
      <right style="thin">
        <color rgb="FFEBEFF1"/>
      </right>
      <bottom style="thin">
        <color rgb="FFEBEFF1"/>
      </bottom>
    </border>
    <border>
      <bottom style="thin">
        <color rgb="FFEBEFF1"/>
      </bottom>
    </border>
    <border>
      <left style="thin">
        <color rgb="FFEBEFF1"/>
      </left>
      <right style="thick">
        <color rgb="FF000000"/>
      </right>
      <bottom style="thin">
        <color rgb="FFEBEFF1"/>
      </bottom>
    </border>
    <border>
      <right style="thick">
        <color rgb="FF000000"/>
      </right>
      <bottom style="thin">
        <color rgb="FFEBEFF1"/>
      </bottom>
    </border>
    <border>
      <left style="thin">
        <color rgb="FFEBEFF1"/>
      </left>
      <right style="thin">
        <color rgb="FFEBEFF1"/>
      </right>
      <bottom style="thin">
        <color rgb="FFEBEFF1"/>
      </bottom>
    </border>
    <border>
      <left style="thin">
        <color rgb="FFEBEFF1"/>
      </left>
      <bottom style="thin">
        <color rgb="FFEBEFF1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EBEFF1"/>
      </right>
      <top style="thin">
        <color rgb="FFEBEFF1"/>
      </top>
      <bottom style="thin">
        <color rgb="FFEBEFF1"/>
      </bottom>
    </border>
    <border>
      <top style="thin">
        <color rgb="FFEBEFF1"/>
      </top>
      <bottom style="thin">
        <color rgb="FFEBEFF1"/>
      </bottom>
    </border>
    <border>
      <right style="thick">
        <color rgb="FF000000"/>
      </right>
      <top style="thin">
        <color rgb="FFEBEFF1"/>
      </top>
      <bottom style="thin">
        <color rgb="FFEBEFF1"/>
      </bottom>
    </border>
    <border>
      <left style="thin">
        <color rgb="FFEBEFF1"/>
      </left>
      <right style="thin">
        <color rgb="FFEBEFF1"/>
      </right>
      <top style="thin">
        <color rgb="FFEBEFF1"/>
      </top>
      <bottom style="thin">
        <color rgb="FFEBEFF1"/>
      </bottom>
    </border>
    <border>
      <left style="thin">
        <color rgb="FFEBEFF1"/>
      </left>
      <right style="thick">
        <color rgb="FF000000"/>
      </right>
      <top style="thin">
        <color rgb="FFEBEFF1"/>
      </top>
      <bottom style="thin">
        <color rgb="FFEBEFF1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right style="thin">
        <color rgb="FFEBEFF1"/>
      </right>
      <top style="thin">
        <color rgb="FFEBEFF1"/>
      </top>
      <bottom style="thin">
        <color rgb="FF000000"/>
      </bottom>
    </border>
    <border>
      <top style="thin">
        <color rgb="FFEBEFF1"/>
      </top>
      <bottom style="thin">
        <color rgb="FF000000"/>
      </bottom>
    </border>
    <border>
      <right style="thick">
        <color rgb="FF000000"/>
      </right>
      <top style="thin">
        <color rgb="FFEBEFF1"/>
      </top>
      <bottom style="thin">
        <color rgb="FF000000"/>
      </bottom>
    </border>
    <border>
      <left style="thin">
        <color rgb="FFEBEFF1"/>
      </left>
      <right style="thin">
        <color rgb="FFEBEFF1"/>
      </right>
      <top style="thin">
        <color rgb="FFEBEFF1"/>
      </top>
      <bottom style="thin">
        <color rgb="FF000000"/>
      </bottom>
    </border>
    <border>
      <left style="thin">
        <color rgb="FFEBEFF1"/>
      </left>
      <right style="thin">
        <color rgb="FFEBEFF1"/>
      </right>
      <bottom style="thin">
        <color rgb="FF000000"/>
      </bottom>
    </border>
    <border>
      <left style="thin">
        <color rgb="FFEBEFF1"/>
      </left>
      <right style="thick">
        <color rgb="FF000000"/>
      </right>
      <top style="thin">
        <color rgb="FFEBEFF1"/>
      </top>
      <bottom style="thin">
        <color rgb="FF000000"/>
      </bottom>
    </border>
    <border>
      <right style="thin">
        <color rgb="FFEBEFF1"/>
      </right>
      <bottom style="thin">
        <color rgb="FF000000"/>
      </bottom>
    </border>
    <border>
      <left style="thin">
        <color rgb="FFEBEFF1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top" wrapText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4" numFmtId="164" xfId="0" applyAlignment="1" applyBorder="1" applyFont="1" applyNumberFormat="1">
      <alignment horizontal="left" readingOrder="0" shrinkToFit="0" wrapText="1"/>
    </xf>
    <xf borderId="1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readingOrder="0" shrinkToFit="0" vertical="top" wrapText="1"/>
    </xf>
    <xf borderId="4" fillId="0" fontId="7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2" fontId="8" numFmtId="0" xfId="0" applyAlignment="1" applyFill="1" applyFont="1">
      <alignment horizontal="center" vertical="center"/>
    </xf>
    <xf borderId="0" fillId="3" fontId="9" numFmtId="0" xfId="0" applyAlignment="1" applyFill="1" applyFont="1">
      <alignment horizontal="center" readingOrder="0" vertical="center"/>
    </xf>
    <xf borderId="0" fillId="2" fontId="10" numFmtId="0" xfId="0" applyFont="1"/>
    <xf borderId="0" fillId="2" fontId="11" numFmtId="165" xfId="0" applyAlignment="1" applyFont="1" applyNumberFormat="1">
      <alignment horizontal="left" vertical="bottom"/>
    </xf>
    <xf borderId="0" fillId="3" fontId="12" numFmtId="0" xfId="0" applyAlignment="1" applyFont="1">
      <alignment horizontal="center" readingOrder="0" vertical="center"/>
    </xf>
    <xf borderId="0" fillId="2" fontId="13" numFmtId="0" xfId="0" applyAlignment="1" applyFont="1">
      <alignment horizontal="left" readingOrder="0"/>
    </xf>
    <xf borderId="0" fillId="2" fontId="14" numFmtId="0" xfId="0" applyAlignment="1" applyFont="1">
      <alignment horizontal="left" readingOrder="0" vertical="center"/>
    </xf>
    <xf borderId="0" fillId="2" fontId="15" numFmtId="0" xfId="0" applyAlignment="1" applyFont="1">
      <alignment horizontal="center" vertical="center"/>
    </xf>
    <xf borderId="0" fillId="3" fontId="15" numFmtId="0" xfId="0" applyAlignment="1" applyFont="1">
      <alignment horizontal="center" vertical="center"/>
    </xf>
    <xf borderId="0" fillId="3" fontId="16" numFmtId="0" xfId="0" applyAlignment="1" applyFont="1">
      <alignment horizontal="left" readingOrder="0" vertical="center"/>
    </xf>
    <xf borderId="0" fillId="3" fontId="16" numFmtId="0" xfId="0" applyAlignment="1" applyFont="1">
      <alignment horizontal="left" vertical="center"/>
    </xf>
    <xf borderId="0" fillId="2" fontId="8" numFmtId="0" xfId="0" applyAlignment="1" applyFont="1">
      <alignment horizontal="center" readingOrder="0" vertical="center"/>
    </xf>
    <xf borderId="0" fillId="2" fontId="17" numFmtId="166" xfId="0" applyAlignment="1" applyFont="1" applyNumberFormat="1">
      <alignment readingOrder="0"/>
    </xf>
    <xf borderId="0" fillId="2" fontId="17" numFmtId="10" xfId="0" applyFont="1" applyNumberFormat="1"/>
    <xf borderId="0" fillId="3" fontId="18" numFmtId="166" xfId="0" applyAlignment="1" applyFont="1" applyNumberFormat="1">
      <alignment horizontal="center" vertical="center"/>
    </xf>
    <xf borderId="0" fillId="2" fontId="19" numFmtId="10" xfId="0" applyFont="1" applyNumberFormat="1"/>
    <xf borderId="0" fillId="3" fontId="20" numFmtId="0" xfId="0" applyAlignment="1" applyFont="1">
      <alignment horizontal="left" readingOrder="0" shrinkToFit="0" vertical="center" wrapText="1"/>
    </xf>
    <xf borderId="0" fillId="2" fontId="21" numFmtId="0" xfId="0" applyAlignment="1" applyFont="1">
      <alignment horizontal="center" vertical="center"/>
    </xf>
    <xf borderId="0" fillId="4" fontId="21" numFmtId="0" xfId="0" applyAlignment="1" applyFill="1" applyFont="1">
      <alignment horizontal="center" vertical="center"/>
    </xf>
    <xf borderId="0" fillId="2" fontId="22" numFmtId="10" xfId="0" applyAlignment="1" applyFont="1" applyNumberFormat="1">
      <alignment horizontal="left" vertical="center"/>
    </xf>
    <xf borderId="0" fillId="3" fontId="22" numFmtId="10" xfId="0" applyAlignment="1" applyFont="1" applyNumberFormat="1">
      <alignment horizontal="left" vertical="center"/>
    </xf>
    <xf borderId="0" fillId="3" fontId="8" numFmtId="0" xfId="0" applyAlignment="1" applyFont="1">
      <alignment horizontal="center" vertical="center"/>
    </xf>
    <xf borderId="0" fillId="3" fontId="22" numFmtId="0" xfId="0" applyAlignment="1" applyFont="1">
      <alignment horizontal="right" vertical="center"/>
    </xf>
    <xf borderId="0" fillId="3" fontId="22" numFmtId="0" xfId="0" applyAlignment="1" applyFont="1">
      <alignment horizontal="right" readingOrder="0" vertical="center"/>
    </xf>
    <xf borderId="5" fillId="3" fontId="15" numFmtId="0" xfId="0" applyAlignment="1" applyBorder="1" applyFont="1">
      <alignment horizontal="center" readingOrder="0" vertical="center"/>
    </xf>
    <xf borderId="5" fillId="0" fontId="3" numFmtId="0" xfId="0" applyBorder="1" applyFont="1"/>
    <xf borderId="5" fillId="3" fontId="16" numFmtId="0" xfId="0" applyAlignment="1" applyBorder="1" applyFont="1">
      <alignment horizontal="left" readingOrder="0" vertical="center"/>
    </xf>
    <xf borderId="5" fillId="3" fontId="15" numFmtId="0" xfId="0" applyAlignment="1" applyBorder="1" applyFont="1">
      <alignment horizontal="center" vertical="center"/>
    </xf>
    <xf borderId="5" fillId="3" fontId="16" numFmtId="0" xfId="0" applyAlignment="1" applyBorder="1" applyFont="1">
      <alignment horizontal="left" vertical="center"/>
    </xf>
    <xf borderId="0" fillId="2" fontId="19" numFmtId="1" xfId="0" applyAlignment="1" applyFont="1" applyNumberFormat="1">
      <alignment horizontal="center" readingOrder="0"/>
    </xf>
    <xf borderId="0" fillId="2" fontId="19" numFmtId="0" xfId="0" applyAlignment="1" applyFont="1">
      <alignment readingOrder="0"/>
    </xf>
    <xf borderId="0" fillId="2" fontId="23" numFmtId="0" xfId="0" applyFont="1"/>
    <xf borderId="0" fillId="2" fontId="8" numFmtId="166" xfId="0" applyAlignment="1" applyFont="1" applyNumberFormat="1">
      <alignment horizontal="center" readingOrder="0" vertical="center"/>
    </xf>
    <xf borderId="0" fillId="2" fontId="19" numFmtId="166" xfId="0" applyAlignment="1" applyFont="1" applyNumberFormat="1">
      <alignment readingOrder="0"/>
    </xf>
    <xf borderId="0" fillId="2" fontId="19" numFmtId="166" xfId="0" applyFont="1" applyNumberFormat="1"/>
    <xf borderId="0" fillId="2" fontId="19" numFmtId="166" xfId="0" applyFont="1" applyNumberFormat="1"/>
    <xf borderId="0" fillId="2" fontId="24" numFmtId="0" xfId="0" applyAlignment="1" applyFont="1">
      <alignment horizontal="center" vertical="center"/>
    </xf>
    <xf borderId="0" fillId="4" fontId="24" numFmtId="0" xfId="0" applyAlignment="1" applyFont="1">
      <alignment horizontal="center" vertical="center"/>
    </xf>
    <xf borderId="0" fillId="3" fontId="25" numFmtId="0" xfId="0" applyAlignment="1" applyFont="1">
      <alignment horizontal="center" readingOrder="0" vertical="center"/>
    </xf>
    <xf borderId="0" fillId="2" fontId="23" numFmtId="10" xfId="0" applyFont="1" applyNumberFormat="1"/>
    <xf borderId="0" fillId="3" fontId="11" numFmtId="0" xfId="0" applyAlignment="1" applyFont="1">
      <alignment horizontal="center" vertical="bottom"/>
    </xf>
    <xf borderId="5" fillId="2" fontId="15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left" vertical="center"/>
    </xf>
    <xf borderId="0" fillId="2" fontId="20" numFmtId="0" xfId="0" applyAlignment="1" applyFont="1">
      <alignment horizontal="left" readingOrder="0" shrinkToFit="0" vertical="center" wrapText="1"/>
    </xf>
    <xf borderId="0" fillId="3" fontId="26" numFmtId="0" xfId="0" applyAlignment="1" applyFont="1">
      <alignment horizontal="left" readingOrder="0" vertical="center"/>
    </xf>
    <xf borderId="0" fillId="2" fontId="22" numFmtId="0" xfId="0" applyAlignment="1" applyFont="1">
      <alignment horizontal="right" vertical="center"/>
    </xf>
    <xf borderId="0" fillId="3" fontId="10" numFmtId="0" xfId="0" applyFont="1"/>
    <xf borderId="0" fillId="2" fontId="27" numFmtId="0" xfId="0" applyAlignment="1" applyFont="1">
      <alignment horizontal="center" readingOrder="0" vertical="bottom"/>
    </xf>
    <xf borderId="0" fillId="2" fontId="28" numFmtId="0" xfId="0" applyFont="1"/>
    <xf borderId="0" fillId="3" fontId="20" numFmtId="0" xfId="0" applyAlignment="1" applyFont="1">
      <alignment horizontal="center" readingOrder="0" shrinkToFit="0" textRotation="90" vertical="center" wrapText="1"/>
    </xf>
    <xf borderId="5" fillId="3" fontId="29" numFmtId="166" xfId="0" applyAlignment="1" applyBorder="1" applyFont="1" applyNumberFormat="1">
      <alignment horizontal="left" vertical="bottom"/>
    </xf>
    <xf borderId="0" fillId="3" fontId="27" numFmtId="0" xfId="0" applyAlignment="1" applyFont="1">
      <alignment horizontal="center" readingOrder="0" vertical="bottom"/>
    </xf>
    <xf borderId="0" fillId="2" fontId="14" numFmtId="0" xfId="0" applyAlignment="1" applyFont="1">
      <alignment horizontal="center" readingOrder="0"/>
    </xf>
    <xf borderId="0" fillId="3" fontId="13" numFmtId="0" xfId="0" applyAlignment="1" applyFont="1">
      <alignment horizontal="center" vertical="bottom"/>
    </xf>
    <xf borderId="0" fillId="3" fontId="30" numFmtId="0" xfId="0" applyAlignment="1" applyFont="1">
      <alignment horizontal="center" vertical="bottom"/>
    </xf>
    <xf borderId="6" fillId="0" fontId="3" numFmtId="0" xfId="0" applyBorder="1" applyFont="1"/>
    <xf borderId="7" fillId="3" fontId="13" numFmtId="0" xfId="0" applyAlignment="1" applyBorder="1" applyFont="1">
      <alignment horizontal="center" vertical="bottom"/>
    </xf>
    <xf borderId="7" fillId="0" fontId="3" numFmtId="0" xfId="0" applyBorder="1" applyFont="1"/>
    <xf borderId="0" fillId="3" fontId="30" numFmtId="167" xfId="0" applyAlignment="1" applyFont="1" applyNumberFormat="1">
      <alignment horizontal="center" vertical="bottom"/>
    </xf>
    <xf borderId="0" fillId="2" fontId="30" numFmtId="0" xfId="0" applyAlignment="1" applyFont="1">
      <alignment horizontal="center" vertical="bottom"/>
    </xf>
    <xf borderId="0" fillId="3" fontId="31" numFmtId="0" xfId="0" applyAlignment="1" applyFont="1">
      <alignment horizontal="left" vertical="center"/>
    </xf>
    <xf borderId="0" fillId="3" fontId="32" numFmtId="0" xfId="0" applyAlignment="1" applyFont="1">
      <alignment horizontal="center" vertical="center"/>
    </xf>
    <xf borderId="0" fillId="3" fontId="30" numFmtId="168" xfId="0" applyAlignment="1" applyFont="1" applyNumberFormat="1">
      <alignment horizontal="center" vertical="bottom"/>
    </xf>
    <xf borderId="0" fillId="3" fontId="33" numFmtId="0" xfId="0" applyAlignment="1" applyFont="1">
      <alignment horizontal="center" vertical="center"/>
    </xf>
    <xf borderId="5" fillId="3" fontId="20" numFmtId="0" xfId="0" applyAlignment="1" applyBorder="1" applyFont="1">
      <alignment horizontal="center" readingOrder="0" shrinkToFit="0" textRotation="90" vertical="center" wrapText="1"/>
    </xf>
    <xf borderId="5" fillId="3" fontId="34" numFmtId="166" xfId="0" applyAlignment="1" applyBorder="1" applyFont="1" applyNumberFormat="1">
      <alignment horizontal="left" vertical="bottom"/>
    </xf>
    <xf borderId="0" fillId="3" fontId="31" numFmtId="0" xfId="0" applyAlignment="1" applyFont="1">
      <alignment horizontal="left" readingOrder="0" vertical="center"/>
    </xf>
    <xf borderId="5" fillId="3" fontId="35" numFmtId="166" xfId="0" applyAlignment="1" applyBorder="1" applyFont="1" applyNumberFormat="1">
      <alignment horizontal="left" vertical="bottom"/>
    </xf>
    <xf borderId="0" fillId="3" fontId="32" numFmtId="0" xfId="0" applyAlignment="1" applyFont="1">
      <alignment horizontal="left" vertical="center"/>
    </xf>
    <xf borderId="0" fillId="2" fontId="13" numFmtId="0" xfId="0" applyAlignment="1" applyFont="1">
      <alignment horizontal="center" vertical="bottom"/>
    </xf>
    <xf borderId="0" fillId="2" fontId="36" numFmtId="0" xfId="0" applyAlignment="1" applyFont="1">
      <alignment horizontal="left" readingOrder="0" vertical="bottom"/>
    </xf>
    <xf borderId="0" fillId="2" fontId="37" numFmtId="0" xfId="0" applyAlignment="1" applyFont="1">
      <alignment horizontal="center" readingOrder="0" vertical="top"/>
    </xf>
    <xf borderId="0" fillId="2" fontId="38" numFmtId="0" xfId="0" applyAlignment="1" applyFont="1">
      <alignment horizontal="left" readingOrder="0" vertical="center"/>
    </xf>
    <xf borderId="8" fillId="0" fontId="39" numFmtId="0" xfId="0" applyAlignment="1" applyBorder="1" applyFont="1">
      <alignment horizontal="right" readingOrder="0" vertical="bottom"/>
    </xf>
    <xf borderId="8" fillId="5" fontId="40" numFmtId="0" xfId="0" applyAlignment="1" applyBorder="1" applyFill="1" applyFont="1">
      <alignment readingOrder="0" vertical="bottom"/>
    </xf>
    <xf borderId="8" fillId="0" fontId="39" numFmtId="0" xfId="0" applyAlignment="1" applyBorder="1" applyFont="1">
      <alignment horizontal="right" vertical="bottom"/>
    </xf>
    <xf borderId="8" fillId="5" fontId="8" numFmtId="0" xfId="0" applyAlignment="1" applyBorder="1" applyFont="1">
      <alignment horizontal="center" vertical="center"/>
    </xf>
    <xf borderId="8" fillId="5" fontId="23" numFmtId="0" xfId="0" applyBorder="1" applyFont="1"/>
    <xf borderId="8" fillId="5" fontId="10" numFmtId="0" xfId="0" applyBorder="1" applyFont="1"/>
    <xf borderId="0" fillId="0" fontId="39" numFmtId="0" xfId="0" applyAlignment="1" applyFont="1">
      <alignment horizontal="right" readingOrder="0" vertical="bottom"/>
    </xf>
    <xf borderId="0" fillId="5" fontId="41" numFmtId="0" xfId="0" applyAlignment="1" applyFont="1">
      <alignment readingOrder="0" vertical="bottom"/>
    </xf>
    <xf borderId="0" fillId="0" fontId="39" numFmtId="0" xfId="0" applyAlignment="1" applyFont="1">
      <alignment horizontal="right" vertical="bottom"/>
    </xf>
    <xf borderId="0" fillId="5" fontId="8" numFmtId="0" xfId="0" applyAlignment="1" applyFont="1">
      <alignment horizontal="center" vertical="center"/>
    </xf>
    <xf borderId="0" fillId="5" fontId="23" numFmtId="0" xfId="0" applyFont="1"/>
    <xf borderId="0" fillId="5" fontId="10" numFmtId="0" xfId="0" applyFont="1"/>
    <xf borderId="0" fillId="0" fontId="42" numFmtId="0" xfId="0" applyAlignment="1" applyFont="1">
      <alignment horizontal="left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168" xfId="0" applyAlignment="1" applyFont="1" applyNumberForma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0" numFmtId="166" xfId="0" applyAlignment="1" applyFont="1" applyNumberFormat="1">
      <alignment horizontal="center" vertical="center"/>
    </xf>
    <xf borderId="0" fillId="0" fontId="43" numFmtId="0" xfId="0" applyAlignment="1" applyFont="1">
      <alignment horizontal="center" vertical="center"/>
    </xf>
    <xf borderId="0" fillId="2" fontId="44" numFmtId="0" xfId="0" applyAlignment="1" applyFont="1">
      <alignment horizontal="center" readingOrder="0" vertical="center"/>
    </xf>
    <xf borderId="9" fillId="0" fontId="3" numFmtId="0" xfId="0" applyBorder="1" applyFont="1"/>
    <xf borderId="10" fillId="2" fontId="44" numFmtId="0" xfId="0" applyAlignment="1" applyBorder="1" applyFont="1">
      <alignment horizontal="left" readingOrder="0" vertical="center"/>
    </xf>
    <xf borderId="11" fillId="2" fontId="44" numFmtId="0" xfId="0" applyAlignment="1" applyBorder="1" applyFont="1">
      <alignment horizontal="left" readingOrder="0" vertical="center"/>
    </xf>
    <xf borderId="10" fillId="2" fontId="44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2" fontId="44" numFmtId="0" xfId="0" applyAlignment="1" applyBorder="1" applyFont="1">
      <alignment horizontal="center" readingOrder="0" vertical="center"/>
    </xf>
    <xf borderId="0" fillId="2" fontId="44" numFmtId="0" xfId="0" applyAlignment="1" applyFont="1">
      <alignment horizontal="left" readingOrder="0" vertical="center"/>
    </xf>
    <xf borderId="0" fillId="0" fontId="45" numFmtId="0" xfId="0" applyAlignment="1" applyFont="1">
      <alignment horizontal="left" vertical="top"/>
    </xf>
    <xf borderId="0" fillId="0" fontId="45" numFmtId="0" xfId="0" applyAlignment="1" applyFont="1">
      <alignment horizontal="left" readingOrder="0" vertical="top"/>
    </xf>
    <xf borderId="13" fillId="0" fontId="45" numFmtId="0" xfId="0" applyAlignment="1" applyBorder="1" applyFont="1">
      <alignment horizontal="left" readingOrder="0" vertical="top"/>
    </xf>
    <xf borderId="9" fillId="0" fontId="45" numFmtId="0" xfId="0" applyAlignment="1" applyBorder="1" applyFont="1">
      <alignment horizontal="left" vertical="top"/>
    </xf>
    <xf borderId="0" fillId="0" fontId="45" numFmtId="168" xfId="0" applyAlignment="1" applyFont="1" applyNumberFormat="1">
      <alignment horizontal="left" vertical="top"/>
    </xf>
    <xf borderId="9" fillId="0" fontId="45" numFmtId="168" xfId="0" applyAlignment="1" applyBorder="1" applyFont="1" applyNumberFormat="1">
      <alignment horizontal="left" vertical="top"/>
    </xf>
    <xf borderId="0" fillId="0" fontId="45" numFmtId="166" xfId="0" applyAlignment="1" applyFont="1" applyNumberFormat="1">
      <alignment horizontal="left" readingOrder="0" vertical="top"/>
    </xf>
    <xf borderId="0" fillId="0" fontId="45" numFmtId="166" xfId="0" applyAlignment="1" applyFont="1" applyNumberFormat="1">
      <alignment horizontal="left" vertical="top"/>
    </xf>
    <xf borderId="9" fillId="0" fontId="10" numFmtId="0" xfId="0" applyAlignment="1" applyBorder="1" applyFont="1">
      <alignment horizontal="center" vertical="center"/>
    </xf>
    <xf borderId="9" fillId="0" fontId="10" numFmtId="168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left" vertical="center"/>
    </xf>
    <xf borderId="0" fillId="0" fontId="45" numFmtId="0" xfId="0" applyAlignment="1" applyFont="1">
      <alignment horizontal="center" shrinkToFit="0" vertical="center" wrapText="1"/>
    </xf>
    <xf borderId="0" fillId="6" fontId="46" numFmtId="0" xfId="0" applyAlignment="1" applyFill="1" applyFont="1">
      <alignment horizontal="center" readingOrder="0" shrinkToFit="0" vertical="center" wrapText="1"/>
    </xf>
    <xf borderId="9" fillId="6" fontId="46" numFmtId="0" xfId="0" applyAlignment="1" applyBorder="1" applyFont="1">
      <alignment horizontal="center" readingOrder="0" shrinkToFit="0" textRotation="90" vertical="center" wrapText="1"/>
    </xf>
    <xf borderId="9" fillId="6" fontId="46" numFmtId="0" xfId="0" applyAlignment="1" applyBorder="1" applyFont="1">
      <alignment horizontal="center" readingOrder="0" shrinkToFit="0" vertical="center" wrapText="1"/>
    </xf>
    <xf borderId="0" fillId="6" fontId="46" numFmtId="0" xfId="0" applyAlignment="1" applyFont="1">
      <alignment horizontal="center" readingOrder="0" shrinkToFit="0" textRotation="90" vertical="center" wrapText="1"/>
    </xf>
    <xf borderId="0" fillId="6" fontId="46" numFmtId="166" xfId="0" applyAlignment="1" applyFont="1" applyNumberFormat="1">
      <alignment horizontal="center" readingOrder="0" shrinkToFit="0" vertical="center" wrapText="1"/>
    </xf>
    <xf borderId="0" fillId="5" fontId="24" numFmtId="168" xfId="0" applyAlignment="1" applyFont="1" applyNumberFormat="1">
      <alignment horizontal="left" readingOrder="0" vertical="center"/>
    </xf>
    <xf borderId="0" fillId="5" fontId="47" numFmtId="0" xfId="0" applyAlignment="1" applyFont="1">
      <alignment horizontal="center" readingOrder="0" vertical="center"/>
    </xf>
    <xf borderId="14" fillId="5" fontId="47" numFmtId="0" xfId="0" applyAlignment="1" applyBorder="1" applyFont="1">
      <alignment horizontal="center" readingOrder="0" vertical="center"/>
    </xf>
    <xf borderId="15" fillId="5" fontId="47" numFmtId="0" xfId="0" applyAlignment="1" applyBorder="1" applyFont="1">
      <alignment horizontal="center" readingOrder="0" vertical="center"/>
    </xf>
    <xf borderId="16" fillId="5" fontId="47" numFmtId="0" xfId="0" applyAlignment="1" applyBorder="1" applyFont="1">
      <alignment horizontal="center" readingOrder="0" vertical="center"/>
    </xf>
    <xf borderId="14" fillId="5" fontId="47" numFmtId="0" xfId="0" applyAlignment="1" applyBorder="1" applyFont="1">
      <alignment horizontal="left" readingOrder="0" vertical="center"/>
    </xf>
    <xf borderId="14" fillId="5" fontId="24" numFmtId="0" xfId="0" applyAlignment="1" applyBorder="1" applyFont="1">
      <alignment horizontal="left" readingOrder="0" vertical="center"/>
    </xf>
    <xf borderId="14" fillId="5" fontId="47" numFmtId="0" xfId="0" applyAlignment="1" applyBorder="1" applyFont="1">
      <alignment horizontal="left" readingOrder="0" shrinkToFit="0" vertical="center" wrapText="0"/>
    </xf>
    <xf borderId="17" fillId="5" fontId="47" numFmtId="0" xfId="0" applyAlignment="1" applyBorder="1" applyFont="1">
      <alignment horizontal="left" readingOrder="0" shrinkToFit="0" vertical="center" wrapText="0"/>
    </xf>
    <xf borderId="15" fillId="5" fontId="47" numFmtId="0" xfId="0" applyAlignment="1" applyBorder="1" applyFont="1">
      <alignment horizontal="left" readingOrder="0" vertical="center"/>
    </xf>
    <xf borderId="18" fillId="5" fontId="47" numFmtId="0" xfId="0" applyAlignment="1" applyBorder="1" applyFont="1">
      <alignment horizontal="left" readingOrder="0" vertical="center"/>
    </xf>
    <xf borderId="0" fillId="5" fontId="47" numFmtId="0" xfId="0" applyAlignment="1" applyFont="1">
      <alignment horizontal="left" readingOrder="0" vertical="center"/>
    </xf>
    <xf borderId="18" fillId="5" fontId="47" numFmtId="0" xfId="0" applyAlignment="1" applyBorder="1" applyFont="1">
      <alignment horizontal="center" readingOrder="0" vertical="center"/>
    </xf>
    <xf borderId="18" fillId="7" fontId="47" numFmtId="168" xfId="0" applyAlignment="1" applyBorder="1" applyFill="1" applyFont="1" applyNumberFormat="1">
      <alignment horizontal="center" readingOrder="0" vertical="center"/>
    </xf>
    <xf borderId="16" fillId="5" fontId="47" numFmtId="168" xfId="0" applyAlignment="1" applyBorder="1" applyFont="1" applyNumberFormat="1">
      <alignment horizontal="center" readingOrder="0" vertical="center"/>
    </xf>
    <xf borderId="14" fillId="5" fontId="47" numFmtId="168" xfId="0" applyAlignment="1" applyBorder="1" applyFont="1" applyNumberFormat="1">
      <alignment horizontal="center" readingOrder="0" vertical="center"/>
    </xf>
    <xf borderId="18" fillId="5" fontId="24" numFmtId="0" xfId="0" applyAlignment="1" applyBorder="1" applyFont="1">
      <alignment horizontal="left" readingOrder="0" vertical="center"/>
    </xf>
    <xf borderId="16" fillId="5" fontId="24" numFmtId="0" xfId="0" applyAlignment="1" applyBorder="1" applyFont="1">
      <alignment horizontal="left" readingOrder="0" vertical="center"/>
    </xf>
    <xf borderId="18" fillId="5" fontId="47" numFmtId="168" xfId="0" applyAlignment="1" applyBorder="1" applyFont="1" applyNumberFormat="1">
      <alignment horizontal="center" readingOrder="0" vertical="center"/>
    </xf>
    <xf borderId="19" fillId="5" fontId="47" numFmtId="0" xfId="0" applyAlignment="1" applyBorder="1" applyFont="1">
      <alignment horizontal="center" readingOrder="0" vertical="center"/>
    </xf>
    <xf borderId="19" fillId="5" fontId="47" numFmtId="168" xfId="0" applyAlignment="1" applyBorder="1" applyFont="1" applyNumberFormat="1">
      <alignment horizontal="center" readingOrder="0" vertical="center"/>
    </xf>
    <xf borderId="0" fillId="5" fontId="47" numFmtId="166" xfId="0" applyAlignment="1" applyFont="1" applyNumberFormat="1">
      <alignment horizontal="center" readingOrder="0" vertical="center"/>
    </xf>
    <xf borderId="0" fillId="5" fontId="24" numFmtId="0" xfId="0" applyAlignment="1" applyFont="1">
      <alignment horizontal="center" readingOrder="0" vertical="center"/>
    </xf>
    <xf borderId="9" fillId="5" fontId="24" numFmtId="0" xfId="0" applyAlignment="1" applyBorder="1" applyFont="1">
      <alignment horizontal="center" readingOrder="0" vertical="center"/>
    </xf>
    <xf borderId="20" fillId="5" fontId="24" numFmtId="0" xfId="0" applyAlignment="1" applyBorder="1" applyFont="1">
      <alignment horizontal="left" readingOrder="0" shrinkToFit="0" vertical="center" wrapText="0"/>
    </xf>
    <xf borderId="0" fillId="8" fontId="24" numFmtId="168" xfId="0" applyAlignment="1" applyFill="1" applyFont="1" applyNumberFormat="1">
      <alignment horizontal="left" readingOrder="0" vertical="center"/>
    </xf>
    <xf borderId="0" fillId="8" fontId="47" numFmtId="0" xfId="0" applyAlignment="1" applyFont="1">
      <alignment horizontal="center" readingOrder="0" vertical="center"/>
    </xf>
    <xf borderId="14" fillId="8" fontId="47" numFmtId="0" xfId="0" applyAlignment="1" applyBorder="1" applyFont="1">
      <alignment horizontal="center" readingOrder="0" vertical="center"/>
    </xf>
    <xf borderId="15" fillId="8" fontId="47" numFmtId="0" xfId="0" applyAlignment="1" applyBorder="1" applyFont="1">
      <alignment horizontal="center" readingOrder="0" vertical="center"/>
    </xf>
    <xf borderId="0" fillId="8" fontId="24" numFmtId="0" xfId="0" applyAlignment="1" applyFont="1">
      <alignment horizontal="center" readingOrder="0" vertical="center"/>
    </xf>
    <xf borderId="14" fillId="8" fontId="24" numFmtId="0" xfId="0" applyAlignment="1" applyBorder="1" applyFont="1">
      <alignment horizontal="center" readingOrder="0" vertical="center"/>
    </xf>
    <xf borderId="16" fillId="8" fontId="47" numFmtId="0" xfId="0" applyAlignment="1" applyBorder="1" applyFont="1">
      <alignment horizontal="center" readingOrder="0" vertical="center"/>
    </xf>
    <xf borderId="14" fillId="8" fontId="24" numFmtId="0" xfId="0" applyAlignment="1" applyBorder="1" applyFont="1">
      <alignment horizontal="left" readingOrder="0" vertical="center"/>
    </xf>
    <xf borderId="14" fillId="8" fontId="24" numFmtId="0" xfId="0" applyAlignment="1" applyBorder="1" applyFont="1">
      <alignment horizontal="left" readingOrder="0" shrinkToFit="0" vertical="center" wrapText="0"/>
    </xf>
    <xf quotePrefix="1" borderId="0" fillId="8" fontId="24" numFmtId="0" xfId="0" applyAlignment="1" applyFont="1">
      <alignment horizontal="left" readingOrder="0" shrinkToFit="0" vertical="center" wrapText="0"/>
    </xf>
    <xf borderId="17" fillId="8" fontId="47" numFmtId="0" xfId="0" applyAlignment="1" applyBorder="1" applyFont="1">
      <alignment horizontal="left" readingOrder="0" shrinkToFit="0" vertical="center" wrapText="0"/>
    </xf>
    <xf borderId="15" fillId="8" fontId="24" numFmtId="0" xfId="0" applyAlignment="1" applyBorder="1" applyFont="1">
      <alignment horizontal="left" readingOrder="0" vertical="center"/>
    </xf>
    <xf borderId="18" fillId="8" fontId="24" numFmtId="0" xfId="0" applyAlignment="1" applyBorder="1" applyFont="1">
      <alignment horizontal="left" readingOrder="0" vertical="center"/>
    </xf>
    <xf borderId="15" fillId="8" fontId="24" numFmtId="0" xfId="0" applyAlignment="1" applyBorder="1" applyFont="1">
      <alignment horizontal="center" readingOrder="0" vertical="center"/>
    </xf>
    <xf borderId="0" fillId="8" fontId="24" numFmtId="0" xfId="0" applyAlignment="1" applyFont="1">
      <alignment horizontal="left" readingOrder="0" vertical="center"/>
    </xf>
    <xf borderId="18" fillId="8" fontId="47" numFmtId="0" xfId="0" applyAlignment="1" applyBorder="1" applyFont="1">
      <alignment horizontal="center" readingOrder="0" vertical="center"/>
    </xf>
    <xf borderId="16" fillId="8" fontId="24" numFmtId="168" xfId="0" applyAlignment="1" applyBorder="1" applyFont="1" applyNumberFormat="1">
      <alignment horizontal="center" readingOrder="0" vertical="center"/>
    </xf>
    <xf borderId="14" fillId="8" fontId="24" numFmtId="168" xfId="0" applyAlignment="1" applyBorder="1" applyFont="1" applyNumberFormat="1">
      <alignment horizontal="center" readingOrder="0" vertical="center"/>
    </xf>
    <xf borderId="18" fillId="8" fontId="24" numFmtId="0" xfId="0" applyAlignment="1" applyBorder="1" applyFont="1">
      <alignment horizontal="center" readingOrder="0" vertical="center"/>
    </xf>
    <xf borderId="16" fillId="8" fontId="24" numFmtId="0" xfId="0" applyAlignment="1" applyBorder="1" applyFont="1">
      <alignment horizontal="left" readingOrder="0" vertical="center"/>
    </xf>
    <xf borderId="19" fillId="8" fontId="47" numFmtId="0" xfId="0" applyAlignment="1" applyBorder="1" applyFont="1">
      <alignment horizontal="center" readingOrder="0" vertical="center"/>
    </xf>
    <xf borderId="19" fillId="8" fontId="47" numFmtId="168" xfId="0" applyAlignment="1" applyBorder="1" applyFont="1" applyNumberFormat="1">
      <alignment horizontal="center" readingOrder="0" vertical="center"/>
    </xf>
    <xf borderId="15" fillId="8" fontId="24" numFmtId="166" xfId="0" applyAlignment="1" applyBorder="1" applyFont="1" applyNumberFormat="1">
      <alignment horizontal="center" readingOrder="0" vertical="center"/>
    </xf>
    <xf borderId="0" fillId="8" fontId="24" numFmtId="166" xfId="0" applyAlignment="1" applyFont="1" applyNumberFormat="1">
      <alignment horizontal="center" readingOrder="0" vertical="center"/>
    </xf>
    <xf borderId="9" fillId="8" fontId="24" numFmtId="0" xfId="0" applyAlignment="1" applyBorder="1" applyFont="1">
      <alignment horizontal="center" readingOrder="0" vertical="center"/>
    </xf>
    <xf borderId="21" fillId="8" fontId="24" numFmtId="0" xfId="0" applyAlignment="1" applyBorder="1" applyFont="1">
      <alignment horizontal="left" readingOrder="0" shrinkToFit="0" vertical="center" wrapText="0"/>
    </xf>
    <xf borderId="16" fillId="8" fontId="47" numFmtId="168" xfId="0" applyAlignment="1" applyBorder="1" applyFont="1" applyNumberFormat="1">
      <alignment horizontal="center" readingOrder="0" vertical="center"/>
    </xf>
    <xf borderId="14" fillId="5" fontId="24" numFmtId="0" xfId="0" applyAlignment="1" applyBorder="1" applyFont="1">
      <alignment horizontal="center" readingOrder="0" vertical="center"/>
    </xf>
    <xf borderId="15" fillId="5" fontId="24" numFmtId="0" xfId="0" applyAlignment="1" applyBorder="1" applyFont="1">
      <alignment horizontal="center" readingOrder="0" vertical="center"/>
    </xf>
    <xf borderId="14" fillId="5" fontId="24" numFmtId="0" xfId="0" applyAlignment="1" applyBorder="1" applyFont="1">
      <alignment horizontal="left" readingOrder="0" shrinkToFit="0" vertical="center" wrapText="0"/>
    </xf>
    <xf quotePrefix="1" borderId="14" fillId="5" fontId="24" numFmtId="0" xfId="0" applyAlignment="1" applyBorder="1" applyFont="1">
      <alignment horizontal="left" readingOrder="0" shrinkToFit="0" vertical="center" wrapText="0"/>
    </xf>
    <xf borderId="15" fillId="5" fontId="24" numFmtId="0" xfId="0" applyAlignment="1" applyBorder="1" applyFont="1">
      <alignment horizontal="left" readingOrder="0" vertical="center"/>
    </xf>
    <xf borderId="0" fillId="5" fontId="24" numFmtId="0" xfId="0" applyAlignment="1" applyFont="1">
      <alignment horizontal="left" readingOrder="0" vertical="center"/>
    </xf>
    <xf borderId="16" fillId="5" fontId="24" numFmtId="168" xfId="0" applyAlignment="1" applyBorder="1" applyFont="1" applyNumberFormat="1">
      <alignment horizontal="center" readingOrder="0" vertical="center"/>
    </xf>
    <xf borderId="14" fillId="5" fontId="24" numFmtId="168" xfId="0" applyAlignment="1" applyBorder="1" applyFont="1" applyNumberFormat="1">
      <alignment horizontal="center" readingOrder="0" vertical="center"/>
    </xf>
    <xf borderId="18" fillId="5" fontId="24" numFmtId="0" xfId="0" applyAlignment="1" applyBorder="1" applyFont="1">
      <alignment horizontal="center" readingOrder="0" vertical="center"/>
    </xf>
    <xf borderId="15" fillId="5" fontId="24" numFmtId="166" xfId="0" applyAlignment="1" applyBorder="1" applyFont="1" applyNumberFormat="1">
      <alignment horizontal="center" readingOrder="0" vertical="center"/>
    </xf>
    <xf borderId="0" fillId="5" fontId="24" numFmtId="166" xfId="0" applyAlignment="1" applyFont="1" applyNumberFormat="1">
      <alignment horizontal="center" readingOrder="0" vertical="center"/>
    </xf>
    <xf borderId="21" fillId="5" fontId="48" numFmtId="0" xfId="0" applyAlignment="1" applyBorder="1" applyFont="1">
      <alignment horizontal="left" readingOrder="0" shrinkToFit="0" vertical="center" wrapText="0"/>
    </xf>
    <xf borderId="21" fillId="5" fontId="24" numFmtId="0" xfId="0" applyAlignment="1" applyBorder="1" applyFont="1">
      <alignment horizontal="left" readingOrder="0" shrinkToFit="0" vertical="center" wrapText="0"/>
    </xf>
    <xf borderId="22" fillId="8" fontId="47" numFmtId="0" xfId="0" applyAlignment="1" applyBorder="1" applyFont="1">
      <alignment horizontal="center" readingOrder="0" vertical="center"/>
    </xf>
    <xf borderId="23" fillId="8" fontId="24" numFmtId="0" xfId="0" applyAlignment="1" applyBorder="1" applyFont="1">
      <alignment horizontal="center" readingOrder="0" vertical="center"/>
    </xf>
    <xf borderId="22" fillId="8" fontId="47" numFmtId="0" xfId="0" applyAlignment="1" applyBorder="1" applyFont="1">
      <alignment horizontal="left" readingOrder="0" vertical="center"/>
    </xf>
    <xf borderId="22" fillId="8" fontId="24" numFmtId="0" xfId="0" applyAlignment="1" applyBorder="1" applyFont="1">
      <alignment horizontal="left" readingOrder="0" vertical="center"/>
    </xf>
    <xf borderId="22" fillId="8" fontId="24" numFmtId="0" xfId="0" applyAlignment="1" applyBorder="1" applyFont="1">
      <alignment horizontal="left" readingOrder="0" shrinkToFit="0" vertical="center" wrapText="0"/>
    </xf>
    <xf quotePrefix="1" borderId="14" fillId="8" fontId="24" numFmtId="0" xfId="0" applyAlignment="1" applyBorder="1" applyFont="1">
      <alignment horizontal="left" readingOrder="0" shrinkToFit="0" vertical="center" wrapText="0"/>
    </xf>
    <xf borderId="24" fillId="8" fontId="47" numFmtId="0" xfId="0" applyAlignment="1" applyBorder="1" applyFont="1">
      <alignment horizontal="left" readingOrder="0" shrinkToFit="0" vertical="center" wrapText="0"/>
    </xf>
    <xf borderId="23" fillId="8" fontId="24" numFmtId="0" xfId="0" applyAlignment="1" applyBorder="1" applyFont="1">
      <alignment horizontal="left" readingOrder="0" vertical="center"/>
    </xf>
    <xf borderId="25" fillId="8" fontId="47" numFmtId="0" xfId="0" applyAlignment="1" applyBorder="1" applyFont="1">
      <alignment horizontal="left" readingOrder="0" vertical="center"/>
    </xf>
    <xf borderId="22" fillId="8" fontId="47" numFmtId="168" xfId="0" applyAlignment="1" applyBorder="1" applyFont="1" applyNumberFormat="1">
      <alignment horizontal="center" readingOrder="0" vertical="center"/>
    </xf>
    <xf borderId="25" fillId="8" fontId="47" numFmtId="0" xfId="0" applyAlignment="1" applyBorder="1" applyFont="1">
      <alignment horizontal="center" readingOrder="0" vertical="center"/>
    </xf>
    <xf borderId="26" fillId="8" fontId="24" numFmtId="0" xfId="0" applyAlignment="1" applyBorder="1" applyFont="1">
      <alignment horizontal="left" readingOrder="0" vertical="center"/>
    </xf>
    <xf borderId="23" fillId="8" fontId="47" numFmtId="166" xfId="0" applyAlignment="1" applyBorder="1" applyFont="1" applyNumberFormat="1">
      <alignment horizontal="center" readingOrder="0" vertical="center"/>
    </xf>
    <xf borderId="0" fillId="8" fontId="47" numFmtId="166" xfId="0" applyAlignment="1" applyFont="1" applyNumberFormat="1">
      <alignment horizontal="center" readingOrder="0" vertical="center"/>
    </xf>
    <xf borderId="21" fillId="8" fontId="49" numFmtId="0" xfId="0" applyAlignment="1" applyBorder="1" applyFont="1">
      <alignment horizontal="left" readingOrder="0" shrinkToFit="0" vertical="center" wrapText="0"/>
    </xf>
    <xf borderId="21" fillId="8" fontId="47" numFmtId="0" xfId="0" applyAlignment="1" applyBorder="1" applyFont="1">
      <alignment horizontal="left" readingOrder="0" shrinkToFit="0" vertical="center" wrapText="0"/>
    </xf>
    <xf borderId="22" fillId="5" fontId="47" numFmtId="0" xfId="0" applyAlignment="1" applyBorder="1" applyFont="1">
      <alignment horizontal="center" readingOrder="0" vertical="center"/>
    </xf>
    <xf borderId="23" fillId="5" fontId="47" numFmtId="0" xfId="0" applyAlignment="1" applyBorder="1" applyFont="1">
      <alignment horizontal="center" readingOrder="0" vertical="center"/>
    </xf>
    <xf borderId="22" fillId="5" fontId="47" numFmtId="0" xfId="0" applyAlignment="1" applyBorder="1" applyFont="1">
      <alignment horizontal="left" readingOrder="0" vertical="center"/>
    </xf>
    <xf borderId="22" fillId="5" fontId="24" numFmtId="0" xfId="0" applyAlignment="1" applyBorder="1" applyFont="1">
      <alignment horizontal="left" readingOrder="0" vertical="center"/>
    </xf>
    <xf borderId="22" fillId="5" fontId="24" numFmtId="0" xfId="0" applyAlignment="1" applyBorder="1" applyFont="1">
      <alignment horizontal="left" readingOrder="0" shrinkToFit="0" vertical="center" wrapText="0"/>
    </xf>
    <xf quotePrefix="1" borderId="22" fillId="5" fontId="24" numFmtId="0" xfId="0" applyAlignment="1" applyBorder="1" applyFont="1">
      <alignment horizontal="left" readingOrder="0" shrinkToFit="0" vertical="center" wrapText="0"/>
    </xf>
    <xf borderId="24" fillId="5" fontId="47" numFmtId="0" xfId="0" applyAlignment="1" applyBorder="1" applyFont="1">
      <alignment horizontal="left" readingOrder="0" shrinkToFit="0" vertical="center" wrapText="0"/>
    </xf>
    <xf borderId="23" fillId="5" fontId="24" numFmtId="0" xfId="0" applyAlignment="1" applyBorder="1" applyFont="1">
      <alignment horizontal="left" readingOrder="0" vertical="center"/>
    </xf>
    <xf borderId="25" fillId="5" fontId="47" numFmtId="0" xfId="0" applyAlignment="1" applyBorder="1" applyFont="1">
      <alignment horizontal="left" readingOrder="0" vertical="center"/>
    </xf>
    <xf borderId="23" fillId="5" fontId="24" numFmtId="0" xfId="0" applyAlignment="1" applyBorder="1" applyFont="1">
      <alignment horizontal="center" readingOrder="0" vertical="center"/>
    </xf>
    <xf borderId="22" fillId="5" fontId="47" numFmtId="168" xfId="0" applyAlignment="1" applyBorder="1" applyFont="1" applyNumberFormat="1">
      <alignment horizontal="center" readingOrder="0" vertical="center"/>
    </xf>
    <xf borderId="25" fillId="5" fontId="24" numFmtId="0" xfId="0" applyAlignment="1" applyBorder="1" applyFont="1">
      <alignment horizontal="center" readingOrder="0" vertical="center"/>
    </xf>
    <xf borderId="26" fillId="5" fontId="24" numFmtId="0" xfId="0" applyAlignment="1" applyBorder="1" applyFont="1">
      <alignment horizontal="left" readingOrder="0" vertical="center"/>
    </xf>
    <xf borderId="23" fillId="5" fontId="47" numFmtId="166" xfId="0" applyAlignment="1" applyBorder="1" applyFont="1" applyNumberFormat="1">
      <alignment horizontal="center" readingOrder="0" vertical="center"/>
    </xf>
    <xf borderId="23" fillId="8" fontId="47" numFmtId="0" xfId="0" applyAlignment="1" applyBorder="1" applyFont="1">
      <alignment horizontal="center" readingOrder="0" vertical="center"/>
    </xf>
    <xf borderId="22" fillId="8" fontId="47" numFmtId="0" xfId="0" applyAlignment="1" applyBorder="1" applyFont="1">
      <alignment horizontal="left" readingOrder="0" shrinkToFit="0" vertical="center" wrapText="0"/>
    </xf>
    <xf quotePrefix="1" borderId="22" fillId="8" fontId="47" numFmtId="0" xfId="0" applyAlignment="1" applyBorder="1" applyFont="1">
      <alignment horizontal="left" readingOrder="0" shrinkToFit="0" vertical="center" wrapText="0"/>
    </xf>
    <xf borderId="23" fillId="8" fontId="47" numFmtId="0" xfId="0" applyAlignment="1" applyBorder="1" applyFont="1">
      <alignment horizontal="left" readingOrder="0" vertical="center"/>
    </xf>
    <xf borderId="0" fillId="8" fontId="47" numFmtId="0" xfId="0" applyAlignment="1" applyFont="1">
      <alignment horizontal="left" readingOrder="0" vertical="center"/>
    </xf>
    <xf borderId="25" fillId="8" fontId="24" numFmtId="0" xfId="0" applyAlignment="1" applyBorder="1" applyFont="1">
      <alignment horizontal="center" readingOrder="0" vertical="center"/>
    </xf>
    <xf borderId="21" fillId="8" fontId="50" numFmtId="0" xfId="0" applyAlignment="1" applyBorder="1" applyFont="1">
      <alignment horizontal="left" readingOrder="0" shrinkToFit="0" vertical="center" wrapText="0"/>
    </xf>
    <xf borderId="22" fillId="5" fontId="24" numFmtId="0" xfId="0" applyAlignment="1" applyBorder="1" applyFont="1">
      <alignment horizontal="center" readingOrder="0" vertical="center"/>
    </xf>
    <xf borderId="25" fillId="5" fontId="24" numFmtId="0" xfId="0" applyAlignment="1" applyBorder="1" applyFont="1">
      <alignment horizontal="left" readingOrder="0" vertical="center"/>
    </xf>
    <xf borderId="26" fillId="5" fontId="47" numFmtId="168" xfId="0" applyAlignment="1" applyBorder="1" applyFont="1" applyNumberFormat="1">
      <alignment horizontal="center" readingOrder="0" vertical="center"/>
    </xf>
    <xf borderId="22" fillId="5" fontId="24" numFmtId="168" xfId="0" applyAlignment="1" applyBorder="1" applyFont="1" applyNumberFormat="1">
      <alignment horizontal="center" readingOrder="0" vertical="center"/>
    </xf>
    <xf borderId="21" fillId="5" fontId="51" numFmtId="0" xfId="0" applyAlignment="1" applyBorder="1" applyFont="1">
      <alignment horizontal="left" readingOrder="0" shrinkToFit="0" vertical="center" wrapText="0"/>
    </xf>
    <xf borderId="26" fillId="8" fontId="47" numFmtId="168" xfId="0" applyAlignment="1" applyBorder="1" applyFont="1" applyNumberFormat="1">
      <alignment horizontal="center" readingOrder="0" vertical="center"/>
    </xf>
    <xf borderId="18" fillId="8" fontId="47" numFmtId="0" xfId="0" applyAlignment="1" applyBorder="1" applyFont="1">
      <alignment horizontal="left" readingOrder="0" vertical="center"/>
    </xf>
    <xf borderId="26" fillId="8" fontId="47" numFmtId="0" xfId="0" applyAlignment="1" applyBorder="1" applyFont="1">
      <alignment horizontal="left" readingOrder="0" vertical="center"/>
    </xf>
    <xf borderId="22" fillId="5" fontId="47" numFmtId="0" xfId="0" applyAlignment="1" applyBorder="1" applyFont="1">
      <alignment horizontal="left" readingOrder="0" shrinkToFit="0" vertical="center" wrapText="0"/>
    </xf>
    <xf quotePrefix="1" borderId="22" fillId="5" fontId="47" numFmtId="0" xfId="0" applyAlignment="1" applyBorder="1" applyFont="1">
      <alignment horizontal="left" readingOrder="0" shrinkToFit="0" vertical="center" wrapText="0"/>
    </xf>
    <xf borderId="23" fillId="5" fontId="47" numFmtId="0" xfId="0" applyAlignment="1" applyBorder="1" applyFont="1">
      <alignment horizontal="left" readingOrder="0" vertical="center"/>
    </xf>
    <xf borderId="25" fillId="5" fontId="47" numFmtId="0" xfId="0" applyAlignment="1" applyBorder="1" applyFont="1">
      <alignment horizontal="center" readingOrder="0" vertical="center"/>
    </xf>
    <xf borderId="26" fillId="5" fontId="47" numFmtId="0" xfId="0" applyAlignment="1" applyBorder="1" applyFont="1">
      <alignment horizontal="left" readingOrder="0" vertical="center"/>
    </xf>
    <xf borderId="0" fillId="8" fontId="52" numFmtId="168" xfId="0" applyAlignment="1" applyFont="1" applyNumberFormat="1">
      <alignment horizontal="left" readingOrder="0" vertical="center"/>
    </xf>
    <xf borderId="0" fillId="8" fontId="53" numFmtId="0" xfId="0" applyAlignment="1" applyFont="1">
      <alignment horizontal="center" readingOrder="0" vertical="center"/>
    </xf>
    <xf borderId="22" fillId="8" fontId="53" numFmtId="0" xfId="0" applyAlignment="1" applyBorder="1" applyFont="1">
      <alignment horizontal="center" readingOrder="0" vertical="center"/>
    </xf>
    <xf borderId="23" fillId="8" fontId="53" numFmtId="0" xfId="0" applyAlignment="1" applyBorder="1" applyFont="1">
      <alignment horizontal="center" readingOrder="0" vertical="center"/>
    </xf>
    <xf borderId="22" fillId="8" fontId="53" numFmtId="0" xfId="0" applyAlignment="1" applyBorder="1" applyFont="1">
      <alignment horizontal="left" readingOrder="0" vertical="center"/>
    </xf>
    <xf borderId="22" fillId="8" fontId="53" numFmtId="0" xfId="0" applyAlignment="1" applyBorder="1" applyFont="1">
      <alignment horizontal="left" readingOrder="0" shrinkToFit="0" vertical="center" wrapText="0"/>
    </xf>
    <xf quotePrefix="1" borderId="22" fillId="8" fontId="53" numFmtId="0" xfId="0" applyAlignment="1" applyBorder="1" applyFont="1">
      <alignment horizontal="left" readingOrder="0" shrinkToFit="0" vertical="center" wrapText="0"/>
    </xf>
    <xf borderId="24" fillId="8" fontId="53" numFmtId="0" xfId="0" applyAlignment="1" applyBorder="1" applyFont="1">
      <alignment horizontal="left" shrinkToFit="0" vertical="center" wrapText="0"/>
    </xf>
    <xf borderId="23" fillId="8" fontId="53" numFmtId="0" xfId="0" applyAlignment="1" applyBorder="1" applyFont="1">
      <alignment horizontal="left" readingOrder="0" vertical="center"/>
    </xf>
    <xf borderId="25" fillId="8" fontId="53" numFmtId="0" xfId="0" applyAlignment="1" applyBorder="1" applyFont="1">
      <alignment horizontal="left" readingOrder="0" vertical="center"/>
    </xf>
    <xf borderId="23" fillId="8" fontId="53" numFmtId="0" xfId="0" applyAlignment="1" applyBorder="1" applyFont="1">
      <alignment horizontal="center" vertical="center"/>
    </xf>
    <xf borderId="0" fillId="8" fontId="53" numFmtId="0" xfId="0" applyAlignment="1" applyFont="1">
      <alignment horizontal="left" readingOrder="0" vertical="center"/>
    </xf>
    <xf borderId="22" fillId="8" fontId="53" numFmtId="168" xfId="0" applyAlignment="1" applyBorder="1" applyFont="1" applyNumberFormat="1">
      <alignment horizontal="center" readingOrder="0" vertical="center"/>
    </xf>
    <xf borderId="25" fillId="8" fontId="53" numFmtId="0" xfId="0" applyAlignment="1" applyBorder="1" applyFont="1">
      <alignment horizontal="center" readingOrder="0" vertical="center"/>
    </xf>
    <xf borderId="26" fillId="8" fontId="53" numFmtId="0" xfId="0" applyAlignment="1" applyBorder="1" applyFont="1">
      <alignment horizontal="left" vertical="center"/>
    </xf>
    <xf borderId="23" fillId="8" fontId="53" numFmtId="166" xfId="0" applyAlignment="1" applyBorder="1" applyFont="1" applyNumberFormat="1">
      <alignment horizontal="center" readingOrder="0" vertical="center"/>
    </xf>
    <xf borderId="0" fillId="8" fontId="53" numFmtId="166" xfId="0" applyAlignment="1" applyFont="1" applyNumberFormat="1">
      <alignment horizontal="center" readingOrder="0" vertical="center"/>
    </xf>
    <xf borderId="9" fillId="8" fontId="53" numFmtId="0" xfId="0" applyAlignment="1" applyBorder="1" applyFont="1">
      <alignment horizontal="center" readingOrder="0" vertical="center"/>
    </xf>
    <xf borderId="21" fillId="8" fontId="54" numFmtId="0" xfId="0" applyAlignment="1" applyBorder="1" applyFont="1">
      <alignment horizontal="left" readingOrder="0" shrinkToFit="0" vertical="center" wrapText="0"/>
    </xf>
    <xf borderId="21" fillId="8" fontId="53" numFmtId="0" xfId="0" applyAlignment="1" applyBorder="1" applyFont="1">
      <alignment horizontal="left" shrinkToFit="0" vertical="center" wrapText="0"/>
    </xf>
    <xf borderId="0" fillId="8" fontId="53" numFmtId="0" xfId="0" applyAlignment="1" applyFont="1">
      <alignment horizontal="center" vertical="center"/>
    </xf>
    <xf borderId="25" fillId="8" fontId="24" numFmtId="0" xfId="0" applyAlignment="1" applyBorder="1" applyFont="1">
      <alignment horizontal="left" readingOrder="0" vertical="center"/>
    </xf>
    <xf borderId="18" fillId="8" fontId="47" numFmtId="168" xfId="0" applyAlignment="1" applyBorder="1" applyFont="1" applyNumberFormat="1">
      <alignment horizontal="center" readingOrder="0" vertical="center"/>
    </xf>
    <xf borderId="22" fillId="5" fontId="55" numFmtId="0" xfId="0" applyAlignment="1" applyBorder="1" applyFont="1">
      <alignment shrinkToFit="0" wrapText="0"/>
    </xf>
    <xf borderId="22" fillId="5" fontId="56" numFmtId="0" xfId="0" applyAlignment="1" applyBorder="1" applyFont="1">
      <alignment horizontal="left" shrinkToFit="0" wrapText="0"/>
    </xf>
    <xf quotePrefix="1" borderId="22" fillId="5" fontId="56" numFmtId="0" xfId="0" applyAlignment="1" applyBorder="1" applyFont="1">
      <alignment horizontal="left" shrinkToFit="0" wrapText="0"/>
    </xf>
    <xf borderId="23" fillId="5" fontId="56" numFmtId="0" xfId="0" applyAlignment="1" applyBorder="1" applyFont="1">
      <alignment horizontal="center" shrinkToFit="0" wrapText="0"/>
    </xf>
    <xf borderId="0" fillId="5" fontId="56" numFmtId="0" xfId="0" applyAlignment="1" applyFont="1">
      <alignment horizontal="left" shrinkToFit="0" wrapText="0"/>
    </xf>
    <xf borderId="0" fillId="5" fontId="52" numFmtId="168" xfId="0" applyAlignment="1" applyFont="1" applyNumberFormat="1">
      <alignment horizontal="left" readingOrder="0" vertical="center"/>
    </xf>
    <xf borderId="0" fillId="5" fontId="53" numFmtId="0" xfId="0" applyAlignment="1" applyFont="1">
      <alignment horizontal="center" readingOrder="0" vertical="center"/>
    </xf>
    <xf borderId="22" fillId="5" fontId="53" numFmtId="0" xfId="0" applyAlignment="1" applyBorder="1" applyFont="1">
      <alignment horizontal="center" readingOrder="0" vertical="center"/>
    </xf>
    <xf borderId="23" fillId="5" fontId="1" numFmtId="0" xfId="0" applyBorder="1" applyFont="1"/>
    <xf borderId="22" fillId="5" fontId="55" numFmtId="0" xfId="0" applyAlignment="1" applyBorder="1" applyFont="1">
      <alignment shrinkToFit="0" wrapText="0"/>
    </xf>
    <xf borderId="22" fillId="5" fontId="56" numFmtId="0" xfId="0" applyAlignment="1" applyBorder="1" applyFont="1">
      <alignment horizontal="left" shrinkToFit="0" wrapText="0"/>
    </xf>
    <xf quotePrefix="1" borderId="22" fillId="5" fontId="56" numFmtId="0" xfId="0" applyAlignment="1" applyBorder="1" applyFont="1">
      <alignment horizontal="left" shrinkToFit="0" wrapText="0"/>
    </xf>
    <xf borderId="24" fillId="5" fontId="53" numFmtId="0" xfId="0" applyAlignment="1" applyBorder="1" applyFont="1">
      <alignment horizontal="left" shrinkToFit="0" vertical="center" wrapText="0"/>
    </xf>
    <xf borderId="23" fillId="5" fontId="53" numFmtId="0" xfId="0" applyAlignment="1" applyBorder="1" applyFont="1">
      <alignment horizontal="left" readingOrder="0" vertical="center"/>
    </xf>
    <xf borderId="25" fillId="5" fontId="53" numFmtId="0" xfId="0" applyAlignment="1" applyBorder="1" applyFont="1">
      <alignment horizontal="left" readingOrder="0" vertical="center"/>
    </xf>
    <xf borderId="23" fillId="5" fontId="56" numFmtId="0" xfId="0" applyAlignment="1" applyBorder="1" applyFont="1">
      <alignment horizontal="center" shrinkToFit="0" wrapText="0"/>
    </xf>
    <xf borderId="0" fillId="5" fontId="56" numFmtId="0" xfId="0" applyAlignment="1" applyFont="1">
      <alignment horizontal="left" shrinkToFit="0" wrapText="0"/>
    </xf>
    <xf borderId="22" fillId="5" fontId="53" numFmtId="168" xfId="0" applyAlignment="1" applyBorder="1" applyFont="1" applyNumberFormat="1">
      <alignment horizontal="center" readingOrder="0" vertical="center"/>
    </xf>
    <xf borderId="25" fillId="5" fontId="53" numFmtId="0" xfId="0" applyAlignment="1" applyBorder="1" applyFont="1">
      <alignment horizontal="center" readingOrder="0" vertical="center"/>
    </xf>
    <xf borderId="26" fillId="5" fontId="53" numFmtId="0" xfId="0" applyAlignment="1" applyBorder="1" applyFont="1">
      <alignment horizontal="left" vertical="center"/>
    </xf>
    <xf borderId="23" fillId="5" fontId="53" numFmtId="166" xfId="0" applyAlignment="1" applyBorder="1" applyFont="1" applyNumberFormat="1">
      <alignment horizontal="center" readingOrder="0" vertical="center"/>
    </xf>
    <xf borderId="9" fillId="5" fontId="53" numFmtId="0" xfId="0" applyAlignment="1" applyBorder="1" applyFont="1">
      <alignment horizontal="center" readingOrder="0" vertical="center"/>
    </xf>
    <xf borderId="21" fillId="5" fontId="57" numFmtId="0" xfId="0" applyAlignment="1" applyBorder="1" applyFont="1">
      <alignment horizontal="left" readingOrder="0" shrinkToFit="0" vertical="center" wrapText="0"/>
    </xf>
    <xf borderId="21" fillId="5" fontId="53" numFmtId="0" xfId="0" applyAlignment="1" applyBorder="1" applyFont="1">
      <alignment horizontal="left" shrinkToFit="0" vertical="center" wrapText="0"/>
    </xf>
    <xf borderId="0" fillId="5" fontId="53" numFmtId="0" xfId="0" applyAlignment="1" applyFont="1">
      <alignment horizontal="center" vertical="center"/>
    </xf>
    <xf borderId="22" fillId="5" fontId="55" numFmtId="0" xfId="0" applyAlignment="1" applyBorder="1" applyFont="1">
      <alignment readingOrder="0" shrinkToFit="0" wrapText="0"/>
    </xf>
    <xf borderId="23" fillId="5" fontId="1" numFmtId="0" xfId="0" applyBorder="1" applyFont="1"/>
    <xf quotePrefix="1" borderId="22" fillId="8" fontId="24" numFmtId="0" xfId="0" applyAlignment="1" applyBorder="1" applyFont="1">
      <alignment horizontal="left" readingOrder="0" shrinkToFit="0" vertical="center" wrapText="0"/>
    </xf>
    <xf borderId="22" fillId="8" fontId="24" numFmtId="168" xfId="0" applyAlignment="1" applyBorder="1" applyFont="1" applyNumberFormat="1">
      <alignment horizontal="center" readingOrder="0" vertical="center"/>
    </xf>
    <xf borderId="14" fillId="8" fontId="47" numFmtId="168" xfId="0" applyAlignment="1" applyBorder="1" applyFont="1" applyNumberFormat="1">
      <alignment horizontal="center" readingOrder="0" vertical="center"/>
    </xf>
    <xf borderId="22" fillId="8" fontId="53" numFmtId="0" xfId="0" applyAlignment="1" applyBorder="1" applyFont="1">
      <alignment horizontal="left" shrinkToFit="0" vertical="center" wrapText="0"/>
    </xf>
    <xf borderId="9" fillId="8" fontId="53" numFmtId="0" xfId="0" applyAlignment="1" applyBorder="1" applyFont="1">
      <alignment horizontal="center" vertical="center"/>
    </xf>
    <xf borderId="26" fillId="8" fontId="53" numFmtId="0" xfId="0" applyAlignment="1" applyBorder="1" applyFont="1">
      <alignment horizontal="left" readingOrder="0" vertical="center"/>
    </xf>
    <xf borderId="23" fillId="5" fontId="56" numFmtId="0" xfId="0" applyAlignment="1" applyBorder="1" applyFont="1">
      <alignment shrinkToFit="0" wrapText="0"/>
    </xf>
    <xf borderId="18" fillId="5" fontId="58" numFmtId="0" xfId="0" applyAlignment="1" applyBorder="1" applyFont="1">
      <alignment horizontal="left" readingOrder="0" vertical="center"/>
    </xf>
    <xf borderId="21" fillId="8" fontId="59" numFmtId="0" xfId="0" applyAlignment="1" applyBorder="1" applyFont="1">
      <alignment horizontal="left" readingOrder="0" shrinkToFit="0" vertical="center" wrapText="0"/>
    </xf>
    <xf borderId="27" fillId="5" fontId="47" numFmtId="0" xfId="0" applyAlignment="1" applyBorder="1" applyFont="1">
      <alignment horizontal="left" readingOrder="0" vertical="center"/>
    </xf>
    <xf borderId="27" fillId="5" fontId="47" numFmtId="0" xfId="0" applyAlignment="1" applyBorder="1" applyFont="1">
      <alignment horizontal="left" readingOrder="0" shrinkToFit="0" vertical="center" wrapText="0"/>
    </xf>
    <xf quotePrefix="1" borderId="27" fillId="5" fontId="47" numFmtId="0" xfId="0" applyAlignment="1" applyBorder="1" applyFont="1">
      <alignment horizontal="left" readingOrder="0" shrinkToFit="0" vertical="center" wrapText="0"/>
    </xf>
    <xf borderId="27" fillId="5" fontId="47" numFmtId="0" xfId="0" applyAlignment="1" applyBorder="1" applyFont="1">
      <alignment horizontal="center" readingOrder="0" vertical="center"/>
    </xf>
    <xf borderId="23" fillId="8" fontId="56" numFmtId="0" xfId="0" applyAlignment="1" applyBorder="1" applyFont="1">
      <alignment shrinkToFit="0" wrapText="0"/>
    </xf>
    <xf borderId="28" fillId="8" fontId="55" numFmtId="0" xfId="0" applyAlignment="1" applyBorder="1" applyFont="1">
      <alignment shrinkToFit="0" wrapText="0"/>
    </xf>
    <xf borderId="28" fillId="8" fontId="56" numFmtId="0" xfId="0" applyAlignment="1" applyBorder="1" applyFont="1">
      <alignment horizontal="left" shrinkToFit="0" wrapText="0"/>
    </xf>
    <xf quotePrefix="1" borderId="28" fillId="8" fontId="56" numFmtId="0" xfId="0" applyAlignment="1" applyBorder="1" applyFont="1">
      <alignment horizontal="left" shrinkToFit="0" wrapText="0"/>
    </xf>
    <xf borderId="28" fillId="8" fontId="56" numFmtId="0" xfId="0" applyAlignment="1" applyBorder="1" applyFont="1">
      <alignment horizontal="center" shrinkToFit="0" wrapText="0"/>
    </xf>
    <xf borderId="18" fillId="8" fontId="60" numFmtId="0" xfId="0" applyAlignment="1" applyBorder="1" applyFont="1">
      <alignment horizontal="left" readingOrder="0" vertical="center"/>
    </xf>
    <xf borderId="21" fillId="8" fontId="61" numFmtId="0" xfId="0" applyAlignment="1" applyBorder="1" applyFont="1">
      <alignment horizontal="left" readingOrder="0" shrinkToFit="0" vertical="center" wrapText="0"/>
    </xf>
    <xf borderId="23" fillId="5" fontId="53" numFmtId="0" xfId="0" applyAlignment="1" applyBorder="1" applyFont="1">
      <alignment horizontal="center" vertical="center"/>
    </xf>
    <xf borderId="27" fillId="5" fontId="53" numFmtId="0" xfId="0" applyAlignment="1" applyBorder="1" applyFont="1">
      <alignment horizontal="left" readingOrder="0" vertical="center"/>
    </xf>
    <xf borderId="22" fillId="5" fontId="53" numFmtId="0" xfId="0" applyAlignment="1" applyBorder="1" applyFont="1">
      <alignment horizontal="left" readingOrder="0" vertical="center"/>
    </xf>
    <xf borderId="27" fillId="5" fontId="53" numFmtId="0" xfId="0" applyAlignment="1" applyBorder="1" applyFont="1">
      <alignment horizontal="left" readingOrder="0" shrinkToFit="0" vertical="center" wrapText="0"/>
    </xf>
    <xf quotePrefix="1" borderId="27" fillId="5" fontId="53" numFmtId="0" xfId="0" applyAlignment="1" applyBorder="1" applyFont="1">
      <alignment horizontal="left" readingOrder="0" shrinkToFit="0" vertical="center" wrapText="0"/>
    </xf>
    <xf borderId="27" fillId="5" fontId="53" numFmtId="0" xfId="0" applyAlignment="1" applyBorder="1" applyFont="1">
      <alignment horizontal="center" readingOrder="0" vertical="center"/>
    </xf>
    <xf borderId="0" fillId="5" fontId="53" numFmtId="166" xfId="0" applyAlignment="1" applyFont="1" applyNumberFormat="1">
      <alignment horizontal="center" readingOrder="0" vertical="center"/>
    </xf>
    <xf borderId="9" fillId="5" fontId="53" numFmtId="0" xfId="0" applyAlignment="1" applyBorder="1" applyFont="1">
      <alignment horizontal="center" vertical="center"/>
    </xf>
    <xf borderId="28" fillId="8" fontId="53" numFmtId="0" xfId="0" applyAlignment="1" applyBorder="1" applyFont="1">
      <alignment horizontal="left" readingOrder="0" vertical="center"/>
    </xf>
    <xf borderId="28" fillId="8" fontId="53" numFmtId="0" xfId="0" applyAlignment="1" applyBorder="1" applyFont="1">
      <alignment horizontal="left" readingOrder="0" shrinkToFit="0" vertical="center" wrapText="0"/>
    </xf>
    <xf borderId="28" fillId="8" fontId="53" numFmtId="0" xfId="0" applyAlignment="1" applyBorder="1" applyFont="1">
      <alignment horizontal="left" shrinkToFit="0" vertical="center" wrapText="0"/>
    </xf>
    <xf borderId="28" fillId="8" fontId="53" numFmtId="0" xfId="0" applyAlignment="1" applyBorder="1" applyFont="1">
      <alignment horizontal="center" vertical="center"/>
    </xf>
    <xf borderId="28" fillId="8" fontId="53" numFmtId="0" xfId="0" applyAlignment="1" applyBorder="1" applyFont="1">
      <alignment horizontal="left" vertical="center"/>
    </xf>
    <xf borderId="28" fillId="8" fontId="53" numFmtId="0" xfId="0" applyAlignment="1" applyBorder="1" applyFont="1">
      <alignment horizontal="center" readingOrder="0" vertical="center"/>
    </xf>
    <xf borderId="27" fillId="5" fontId="53" numFmtId="0" xfId="0" applyAlignment="1" applyBorder="1" applyFont="1">
      <alignment horizontal="left" shrinkToFit="0" vertical="center" wrapText="0"/>
    </xf>
    <xf borderId="28" fillId="8" fontId="47" numFmtId="0" xfId="0" applyAlignment="1" applyBorder="1" applyFont="1">
      <alignment horizontal="center" readingOrder="0" vertical="center"/>
    </xf>
    <xf borderId="28" fillId="8" fontId="47" numFmtId="0" xfId="0" applyAlignment="1" applyBorder="1" applyFont="1">
      <alignment horizontal="left" readingOrder="0" vertical="center"/>
    </xf>
    <xf borderId="28" fillId="8" fontId="24" numFmtId="0" xfId="0" applyAlignment="1" applyBorder="1" applyFont="1">
      <alignment horizontal="left" readingOrder="0" shrinkToFit="0" vertical="center" wrapText="0"/>
    </xf>
    <xf quotePrefix="1" borderId="28" fillId="8" fontId="24" numFmtId="0" xfId="0" applyAlignment="1" applyBorder="1" applyFont="1">
      <alignment horizontal="left" readingOrder="0" shrinkToFit="0" vertical="center" wrapText="0"/>
    </xf>
    <xf borderId="28" fillId="8" fontId="24" numFmtId="0" xfId="0" applyAlignment="1" applyBorder="1" applyFont="1">
      <alignment horizontal="center" readingOrder="0" vertical="center"/>
    </xf>
    <xf borderId="28" fillId="8" fontId="24" numFmtId="0" xfId="0" applyAlignment="1" applyBorder="1" applyFont="1">
      <alignment horizontal="left" readingOrder="0" vertical="center"/>
    </xf>
    <xf borderId="25" fillId="8" fontId="62" numFmtId="0" xfId="0" applyAlignment="1" applyBorder="1" applyFont="1">
      <alignment horizontal="left" readingOrder="0" vertical="center"/>
    </xf>
    <xf borderId="22" fillId="8" fontId="55" numFmtId="0" xfId="0" applyAlignment="1" applyBorder="1" applyFont="1">
      <alignment shrinkToFit="0" wrapText="0"/>
    </xf>
    <xf borderId="22" fillId="8" fontId="1" numFmtId="0" xfId="0" applyAlignment="1" applyBorder="1" applyFont="1">
      <alignment horizontal="left" shrinkToFit="0" wrapText="0"/>
    </xf>
    <xf borderId="23" fillId="8" fontId="56" numFmtId="0" xfId="0" applyAlignment="1" applyBorder="1" applyFont="1">
      <alignment horizontal="center" shrinkToFit="0" wrapText="0"/>
    </xf>
    <xf borderId="0" fillId="8" fontId="56" numFmtId="0" xfId="0" applyAlignment="1" applyFont="1">
      <alignment horizontal="left" shrinkToFit="0" wrapText="0"/>
    </xf>
    <xf borderId="23" fillId="5" fontId="53" numFmtId="0" xfId="0" applyAlignment="1" applyBorder="1" applyFont="1">
      <alignment horizontal="center" readingOrder="0" vertical="center"/>
    </xf>
    <xf borderId="22" fillId="5" fontId="53" numFmtId="0" xfId="0" applyAlignment="1" applyBorder="1" applyFont="1">
      <alignment horizontal="left" readingOrder="0" shrinkToFit="0" vertical="center" wrapText="0"/>
    </xf>
    <xf quotePrefix="1" borderId="22" fillId="5" fontId="53" numFmtId="0" xfId="0" applyAlignment="1" applyBorder="1" applyFont="1">
      <alignment horizontal="left" readingOrder="0" shrinkToFit="0" vertical="center" wrapText="0"/>
    </xf>
    <xf borderId="0" fillId="5" fontId="53" numFmtId="0" xfId="0" applyAlignment="1" applyFont="1">
      <alignment horizontal="left" readingOrder="0" vertical="center"/>
    </xf>
    <xf borderId="0" fillId="8" fontId="52" numFmtId="0" xfId="0" applyAlignment="1" applyFont="1">
      <alignment horizontal="center" readingOrder="0" vertical="center"/>
    </xf>
    <xf borderId="9" fillId="8" fontId="52" numFmtId="0" xfId="0" applyAlignment="1" applyBorder="1" applyFont="1">
      <alignment horizontal="center" readingOrder="0" vertical="center"/>
    </xf>
    <xf borderId="22" fillId="5" fontId="53" numFmtId="0" xfId="0" applyAlignment="1" applyBorder="1" applyFont="1">
      <alignment horizontal="left" shrinkToFit="0" vertical="center" wrapText="0"/>
    </xf>
    <xf borderId="23" fillId="9" fontId="53" numFmtId="166" xfId="0" applyAlignment="1" applyBorder="1" applyFill="1" applyFont="1" applyNumberFormat="1">
      <alignment horizontal="center" readingOrder="0" vertical="center"/>
    </xf>
    <xf borderId="0" fillId="9" fontId="53" numFmtId="166" xfId="0" applyAlignment="1" applyFont="1" applyNumberFormat="1">
      <alignment horizontal="center" readingOrder="0" vertical="center"/>
    </xf>
    <xf borderId="26" fillId="5" fontId="53" numFmtId="0" xfId="0" applyAlignment="1" applyBorder="1" applyFont="1">
      <alignment horizontal="left" readingOrder="0" vertical="center"/>
    </xf>
    <xf borderId="22" fillId="8" fontId="55" numFmtId="0" xfId="0" applyAlignment="1" applyBorder="1" applyFont="1">
      <alignment readingOrder="0" shrinkToFit="0" wrapText="0"/>
    </xf>
    <xf borderId="22" fillId="8" fontId="56" numFmtId="0" xfId="0" applyAlignment="1" applyBorder="1" applyFont="1">
      <alignment horizontal="left" shrinkToFit="0" wrapText="0"/>
    </xf>
    <xf quotePrefix="1" borderId="22" fillId="8" fontId="56" numFmtId="0" xfId="0" applyAlignment="1" applyBorder="1" applyFont="1">
      <alignment horizontal="left" shrinkToFit="0" wrapText="0"/>
    </xf>
    <xf borderId="22" fillId="8" fontId="24" numFmtId="0" xfId="0" applyAlignment="1" applyBorder="1" applyFont="1">
      <alignment horizontal="center" readingOrder="0" vertical="center"/>
    </xf>
    <xf borderId="26" fillId="8" fontId="24" numFmtId="168" xfId="0" applyAlignment="1" applyBorder="1" applyFont="1" applyNumberFormat="1">
      <alignment horizontal="center" readingOrder="0" vertical="center"/>
    </xf>
    <xf borderId="0" fillId="5" fontId="53" numFmtId="0" xfId="0" applyAlignment="1" applyFont="1">
      <alignment horizontal="left" vertical="center"/>
    </xf>
    <xf borderId="25" fillId="8" fontId="52" numFmtId="0" xfId="0" applyAlignment="1" applyBorder="1" applyFont="1">
      <alignment horizontal="left" readingOrder="0" vertical="center"/>
    </xf>
    <xf borderId="25" fillId="8" fontId="52" numFmtId="0" xfId="0" applyAlignment="1" applyBorder="1" applyFont="1">
      <alignment horizontal="center" readingOrder="0" vertical="center"/>
    </xf>
    <xf borderId="23" fillId="8" fontId="63" numFmtId="166" xfId="0" applyAlignment="1" applyBorder="1" applyFont="1" applyNumberFormat="1">
      <alignment horizontal="center" readingOrder="0" shrinkToFit="0" vertical="bottom" wrapText="0"/>
    </xf>
    <xf borderId="22" fillId="5" fontId="10" numFmtId="0" xfId="0" applyAlignment="1" applyBorder="1" applyFont="1">
      <alignment horizontal="left" shrinkToFit="0" wrapText="0"/>
    </xf>
    <xf borderId="24" fillId="8" fontId="53" numFmtId="0" xfId="0" applyAlignment="1" applyBorder="1" applyFont="1">
      <alignment horizontal="left" readingOrder="0" shrinkToFit="0" vertical="center" wrapText="0"/>
    </xf>
    <xf borderId="0" fillId="8" fontId="53" numFmtId="166" xfId="0" applyAlignment="1" applyFont="1" applyNumberFormat="1">
      <alignment horizontal="center" vertical="center"/>
    </xf>
    <xf borderId="23" fillId="8" fontId="53" numFmtId="166" xfId="0" applyAlignment="1" applyBorder="1" applyFont="1" applyNumberFormat="1">
      <alignment horizontal="center" vertical="center"/>
    </xf>
    <xf borderId="25" fillId="5" fontId="52" numFmtId="0" xfId="0" applyAlignment="1" applyBorder="1" applyFont="1">
      <alignment horizontal="left" readingOrder="0" vertical="center"/>
    </xf>
    <xf borderId="25" fillId="5" fontId="52" numFmtId="0" xfId="0" applyAlignment="1" applyBorder="1" applyFont="1">
      <alignment horizontal="center" readingOrder="0" vertical="center"/>
    </xf>
    <xf borderId="0" fillId="5" fontId="52" numFmtId="0" xfId="0" applyAlignment="1" applyFont="1">
      <alignment horizontal="center" readingOrder="0" vertical="center"/>
    </xf>
    <xf borderId="9" fillId="5" fontId="52" numFmtId="0" xfId="0" applyAlignment="1" applyBorder="1" applyFont="1">
      <alignment horizontal="center" readingOrder="0" vertical="center"/>
    </xf>
    <xf borderId="23" fillId="5" fontId="63" numFmtId="166" xfId="0" applyAlignment="1" applyBorder="1" applyFont="1" applyNumberFormat="1">
      <alignment horizontal="center" readingOrder="0" shrinkToFit="0" vertical="bottom" wrapText="0"/>
    </xf>
    <xf borderId="0" fillId="5" fontId="63" numFmtId="166" xfId="0" applyAlignment="1" applyFont="1" applyNumberFormat="1">
      <alignment horizontal="center" readingOrder="0" shrinkToFit="0" vertical="bottom" wrapText="0"/>
    </xf>
    <xf borderId="22" fillId="8" fontId="53" numFmtId="0" xfId="0" applyAlignment="1" applyBorder="1" applyFont="1">
      <alignment horizontal="left" vertical="center"/>
    </xf>
    <xf quotePrefix="1" borderId="22" fillId="10" fontId="63" numFmtId="0" xfId="0" applyAlignment="1" applyBorder="1" applyFill="1" applyFont="1">
      <alignment horizontal="left" shrinkToFit="0" wrapText="0"/>
    </xf>
    <xf borderId="0" fillId="8" fontId="63" numFmtId="166" xfId="0" applyAlignment="1" applyFont="1" applyNumberFormat="1">
      <alignment horizontal="center" readingOrder="0" shrinkToFit="0" vertical="bottom" wrapText="0"/>
    </xf>
    <xf borderId="18" fillId="7" fontId="47" numFmtId="169" xfId="0" applyAlignment="1" applyBorder="1" applyFont="1" applyNumberFormat="1">
      <alignment horizontal="center" readingOrder="0" vertical="center"/>
    </xf>
    <xf borderId="16" fillId="5" fontId="47" numFmtId="170" xfId="0" applyAlignment="1" applyBorder="1" applyFont="1" applyNumberFormat="1">
      <alignment horizontal="center" readingOrder="0" vertical="center"/>
    </xf>
    <xf borderId="26" fillId="5" fontId="47" numFmtId="171" xfId="0" applyAlignment="1" applyBorder="1" applyFont="1" applyNumberFormat="1">
      <alignment horizontal="center" readingOrder="0" vertical="center"/>
    </xf>
    <xf borderId="26" fillId="8" fontId="52" numFmtId="0" xfId="0" applyAlignment="1" applyBorder="1" applyFont="1">
      <alignment horizontal="left" readingOrder="0" vertical="center"/>
    </xf>
    <xf quotePrefix="1" borderId="22" fillId="5" fontId="10" numFmtId="0" xfId="0" applyAlignment="1" applyBorder="1" applyFont="1">
      <alignment horizontal="left" readingOrder="0" shrinkToFit="0" wrapText="0"/>
    </xf>
    <xf borderId="0" fillId="5" fontId="10" numFmtId="0" xfId="0" applyAlignment="1" applyFont="1">
      <alignment horizontal="center" vertical="center"/>
    </xf>
    <xf borderId="21" fillId="8" fontId="64" numFmtId="0" xfId="0" applyAlignment="1" applyBorder="1" applyFont="1">
      <alignment horizontal="left" readingOrder="0" shrinkToFit="0" vertical="center" wrapText="0"/>
    </xf>
    <xf borderId="23" fillId="5" fontId="53" numFmtId="166" xfId="0" applyAlignment="1" applyBorder="1" applyFont="1" applyNumberFormat="1">
      <alignment horizontal="center" vertical="center"/>
    </xf>
    <xf borderId="0" fillId="5" fontId="53" numFmtId="166" xfId="0" applyAlignment="1" applyFont="1" applyNumberFormat="1">
      <alignment horizontal="center" vertical="center"/>
    </xf>
    <xf borderId="0" fillId="8" fontId="65" numFmtId="0" xfId="0" applyAlignment="1" applyFont="1">
      <alignment horizontal="center" readingOrder="0"/>
    </xf>
    <xf borderId="22" fillId="8" fontId="65" numFmtId="0" xfId="0" applyAlignment="1" applyBorder="1" applyFont="1">
      <alignment horizontal="center" readingOrder="0"/>
    </xf>
    <xf borderId="23" fillId="8" fontId="10" numFmtId="0" xfId="0" applyAlignment="1" applyBorder="1" applyFont="1">
      <alignment horizontal="center" readingOrder="0" vertical="center"/>
    </xf>
    <xf borderId="22" fillId="8" fontId="10" numFmtId="0" xfId="0" applyAlignment="1" applyBorder="1" applyFont="1">
      <alignment horizontal="left" readingOrder="0" vertical="center"/>
    </xf>
    <xf borderId="24" fillId="8" fontId="10" numFmtId="0" xfId="0" applyAlignment="1" applyBorder="1" applyFont="1">
      <alignment horizontal="left" shrinkToFit="0" vertical="center" wrapText="0"/>
    </xf>
    <xf borderId="0" fillId="8" fontId="10" numFmtId="0" xfId="0" applyAlignment="1" applyFont="1">
      <alignment horizontal="left" readingOrder="0" vertical="center"/>
    </xf>
    <xf borderId="18" fillId="7" fontId="10" numFmtId="168" xfId="0" applyAlignment="1" applyBorder="1" applyFont="1" applyNumberFormat="1">
      <alignment horizontal="center" readingOrder="0" vertical="center"/>
    </xf>
    <xf borderId="18" fillId="8" fontId="65" numFmtId="0" xfId="0" applyBorder="1" applyFont="1"/>
    <xf borderId="26" fillId="8" fontId="65" numFmtId="0" xfId="0" applyBorder="1" applyFont="1"/>
    <xf borderId="14" fillId="8" fontId="21" numFmtId="0" xfId="0" applyAlignment="1" applyBorder="1" applyFont="1">
      <alignment horizontal="center" readingOrder="0"/>
    </xf>
    <xf borderId="18" fillId="8" fontId="21" numFmtId="0" xfId="0" applyAlignment="1" applyBorder="1" applyFont="1">
      <alignment horizontal="center" readingOrder="0"/>
    </xf>
    <xf borderId="19" fillId="8" fontId="21" numFmtId="0" xfId="0" applyAlignment="1" applyBorder="1" applyFont="1">
      <alignment horizontal="center" readingOrder="0"/>
    </xf>
    <xf borderId="16" fillId="8" fontId="65" numFmtId="168" xfId="0" applyBorder="1" applyFont="1" applyNumberFormat="1"/>
    <xf borderId="23" fillId="8" fontId="10" numFmtId="166" xfId="0" applyAlignment="1" applyBorder="1" applyFont="1" applyNumberFormat="1">
      <alignment horizontal="center" readingOrder="0" vertical="center"/>
    </xf>
    <xf borderId="0" fillId="8" fontId="10" numFmtId="166" xfId="0" applyAlignment="1" applyFont="1" applyNumberFormat="1">
      <alignment horizontal="center" readingOrder="0" vertical="center"/>
    </xf>
    <xf borderId="0" fillId="8" fontId="65" numFmtId="0" xfId="0" applyAlignment="1" applyFont="1">
      <alignment readingOrder="0"/>
    </xf>
    <xf borderId="21" fillId="8" fontId="10" numFmtId="0" xfId="0" applyAlignment="1" applyBorder="1" applyFont="1">
      <alignment horizontal="left" shrinkToFit="0" vertical="center" wrapText="0"/>
    </xf>
    <xf borderId="0" fillId="8" fontId="10" numFmtId="0" xfId="0" applyAlignment="1" applyFont="1">
      <alignment horizontal="center" vertical="center"/>
    </xf>
    <xf quotePrefix="1" borderId="29" fillId="8" fontId="53" numFmtId="0" xfId="0" applyAlignment="1" applyBorder="1" applyFont="1">
      <alignment horizontal="left" readingOrder="0" shrinkToFit="0" vertical="center" wrapText="0"/>
    </xf>
    <xf quotePrefix="1" borderId="0" fillId="5" fontId="53" numFmtId="0" xfId="0" applyAlignment="1" applyFont="1">
      <alignment horizontal="left" readingOrder="0" shrinkToFit="0" vertical="center" wrapText="0"/>
    </xf>
    <xf borderId="26" fillId="8" fontId="47" numFmtId="170" xfId="0" applyAlignment="1" applyBorder="1" applyFont="1" applyNumberFormat="1">
      <alignment horizontal="center" readingOrder="0" vertical="center"/>
    </xf>
    <xf borderId="24" fillId="5" fontId="53" numFmtId="0" xfId="0" applyAlignment="1" applyBorder="1" applyFont="1">
      <alignment horizontal="left" readingOrder="0" shrinkToFit="0" vertical="center" wrapText="0"/>
    </xf>
    <xf borderId="18" fillId="7" fontId="47" numFmtId="170" xfId="0" applyAlignment="1" applyBorder="1" applyFont="1" applyNumberFormat="1">
      <alignment horizontal="center" readingOrder="0" vertical="center"/>
    </xf>
    <xf borderId="23" fillId="8" fontId="10" numFmtId="0" xfId="0" applyAlignment="1" applyBorder="1" applyFont="1">
      <alignment horizontal="center" vertical="center"/>
    </xf>
    <xf borderId="22" fillId="8" fontId="10" numFmtId="0" xfId="0" applyAlignment="1" applyBorder="1" applyFont="1">
      <alignment horizontal="left" readingOrder="0" shrinkToFit="0" vertical="center" wrapText="0"/>
    </xf>
    <xf borderId="18" fillId="8" fontId="10" numFmtId="0" xfId="0" applyAlignment="1" applyBorder="1" applyFont="1">
      <alignment horizontal="left" vertical="center"/>
    </xf>
    <xf borderId="0" fillId="8" fontId="66" numFmtId="168" xfId="0" applyAlignment="1" applyFont="1" applyNumberFormat="1">
      <alignment horizontal="left" readingOrder="0"/>
    </xf>
    <xf borderId="0" fillId="8" fontId="65" numFmtId="0" xfId="0" applyAlignment="1" applyFont="1">
      <alignment horizontal="center" readingOrder="0" vertical="bottom"/>
    </xf>
    <xf borderId="22" fillId="8" fontId="65" numFmtId="0" xfId="0" applyAlignment="1" applyBorder="1" applyFont="1">
      <alignment horizontal="center" readingOrder="0" vertical="bottom"/>
    </xf>
    <xf borderId="23" fillId="8" fontId="65" numFmtId="0" xfId="0" applyAlignment="1" applyBorder="1" applyFont="1">
      <alignment horizontal="center" readingOrder="0"/>
    </xf>
    <xf borderId="22" fillId="8" fontId="10" numFmtId="0" xfId="0" applyAlignment="1" applyBorder="1" applyFont="1">
      <alignment readingOrder="0"/>
    </xf>
    <xf borderId="22" fillId="8" fontId="65" numFmtId="0" xfId="0" applyAlignment="1" applyBorder="1" applyFont="1">
      <alignment readingOrder="0" vertical="bottom"/>
    </xf>
    <xf borderId="22" fillId="8" fontId="67" numFmtId="0" xfId="0" applyAlignment="1" applyBorder="1" applyFont="1">
      <alignment readingOrder="0" shrinkToFit="0" vertical="bottom" wrapText="0"/>
    </xf>
    <xf borderId="22" fillId="8" fontId="65" numFmtId="0" xfId="0" applyAlignment="1" applyBorder="1" applyFont="1">
      <alignment readingOrder="0" shrinkToFit="0" vertical="bottom" wrapText="0"/>
    </xf>
    <xf borderId="24" fillId="8" fontId="65" numFmtId="0" xfId="0" applyAlignment="1" applyBorder="1" applyFont="1">
      <alignment vertical="bottom"/>
    </xf>
    <xf borderId="23" fillId="8" fontId="65" numFmtId="0" xfId="0" applyAlignment="1" applyBorder="1" applyFont="1">
      <alignment readingOrder="0" vertical="bottom"/>
    </xf>
    <xf borderId="25" fillId="8" fontId="65" numFmtId="0" xfId="0" applyAlignment="1" applyBorder="1" applyFont="1">
      <alignment readingOrder="0" vertical="bottom"/>
    </xf>
    <xf borderId="23" fillId="8" fontId="65" numFmtId="0" xfId="0" applyAlignment="1" applyBorder="1" applyFont="1">
      <alignment horizontal="center" readingOrder="0" vertical="bottom"/>
    </xf>
    <xf borderId="0" fillId="8" fontId="65" numFmtId="0" xfId="0" applyAlignment="1" applyFont="1">
      <alignment horizontal="left" readingOrder="0" vertical="bottom"/>
    </xf>
    <xf borderId="18" fillId="7" fontId="65" numFmtId="168" xfId="0" applyAlignment="1" applyBorder="1" applyFont="1" applyNumberFormat="1">
      <alignment horizontal="center" readingOrder="0"/>
    </xf>
    <xf borderId="26" fillId="8" fontId="65" numFmtId="168" xfId="0" applyAlignment="1" applyBorder="1" applyFont="1" applyNumberFormat="1">
      <alignment horizontal="center" readingOrder="0"/>
    </xf>
    <xf borderId="14" fillId="8" fontId="21" numFmtId="0" xfId="0" applyAlignment="1" applyBorder="1" applyFont="1">
      <alignment horizontal="center"/>
    </xf>
    <xf borderId="22" fillId="8" fontId="65" numFmtId="168" xfId="0" applyAlignment="1" applyBorder="1" applyFont="1" applyNumberFormat="1">
      <alignment horizontal="center" readingOrder="0" vertical="bottom"/>
    </xf>
    <xf borderId="25" fillId="8" fontId="65" numFmtId="0" xfId="0" applyAlignment="1" applyBorder="1" applyFont="1">
      <alignment horizontal="center" readingOrder="0" vertical="bottom"/>
    </xf>
    <xf borderId="18" fillId="8" fontId="65" numFmtId="0" xfId="0" applyAlignment="1" applyBorder="1" applyFont="1">
      <alignment vertical="bottom"/>
    </xf>
    <xf borderId="26" fillId="8" fontId="65" numFmtId="0" xfId="0" applyAlignment="1" applyBorder="1" applyFont="1">
      <alignment vertical="bottom"/>
    </xf>
    <xf borderId="16" fillId="8" fontId="65" numFmtId="168" xfId="0" applyAlignment="1" applyBorder="1" applyFont="1" applyNumberFormat="1">
      <alignment vertical="bottom"/>
    </xf>
    <xf borderId="23" fillId="8" fontId="65" numFmtId="166" xfId="0" applyAlignment="1" applyBorder="1" applyFont="1" applyNumberFormat="1">
      <alignment horizontal="center" readingOrder="0" vertical="bottom"/>
    </xf>
    <xf borderId="0" fillId="8" fontId="65" numFmtId="166" xfId="0" applyAlignment="1" applyFont="1" applyNumberFormat="1">
      <alignment vertical="bottom"/>
    </xf>
    <xf borderId="0" fillId="8" fontId="65" numFmtId="0" xfId="0" applyAlignment="1" applyFont="1">
      <alignment readingOrder="0" vertical="bottom"/>
    </xf>
    <xf borderId="9" fillId="8" fontId="65" numFmtId="0" xfId="0" applyAlignment="1" applyBorder="1" applyFont="1">
      <alignment readingOrder="0" vertical="bottom"/>
    </xf>
    <xf borderId="21" fillId="8" fontId="65" numFmtId="0" xfId="0" applyAlignment="1" applyBorder="1" applyFont="1">
      <alignment vertical="bottom"/>
    </xf>
    <xf borderId="15" fillId="8" fontId="21" numFmtId="0" xfId="0" applyAlignment="1" applyBorder="1" applyFont="1">
      <alignment horizontal="center" readingOrder="0"/>
    </xf>
    <xf borderId="16" fillId="8" fontId="21" numFmtId="168" xfId="0" applyAlignment="1" applyBorder="1" applyFont="1" applyNumberFormat="1">
      <alignment horizontal="center"/>
    </xf>
    <xf borderId="0" fillId="8" fontId="65" numFmtId="0" xfId="0" applyFont="1"/>
    <xf borderId="24" fillId="8" fontId="65" numFmtId="0" xfId="0" applyAlignment="1" applyBorder="1" applyFont="1">
      <alignment horizontal="left" shrinkToFit="0" wrapText="0"/>
    </xf>
    <xf borderId="21" fillId="8" fontId="68" numFmtId="0" xfId="0" applyAlignment="1" applyBorder="1" applyFont="1">
      <alignment horizontal="left" readingOrder="0" shrinkToFit="0" vertical="center" wrapText="0"/>
    </xf>
    <xf quotePrefix="1" borderId="22" fillId="8" fontId="10" numFmtId="0" xfId="0" applyAlignment="1" applyBorder="1" applyFont="1">
      <alignment horizontal="left" readingOrder="0" shrinkToFit="0" wrapText="0"/>
    </xf>
    <xf borderId="30" fillId="5" fontId="53" numFmtId="0" xfId="0" applyAlignment="1" applyBorder="1" applyFont="1">
      <alignment horizontal="center" readingOrder="0" vertical="center"/>
    </xf>
    <xf borderId="31" fillId="5" fontId="53" numFmtId="0" xfId="0" applyAlignment="1" applyBorder="1" applyFont="1">
      <alignment horizontal="center" vertical="center"/>
    </xf>
    <xf borderId="30" fillId="5" fontId="53" numFmtId="0" xfId="0" applyAlignment="1" applyBorder="1" applyFont="1">
      <alignment horizontal="left" readingOrder="0" vertical="center"/>
    </xf>
    <xf borderId="30" fillId="5" fontId="53" numFmtId="0" xfId="0" applyAlignment="1" applyBorder="1" applyFont="1">
      <alignment horizontal="left" readingOrder="0" shrinkToFit="0" vertical="center" wrapText="0"/>
    </xf>
    <xf quotePrefix="1" borderId="30" fillId="5" fontId="53" numFmtId="0" xfId="0" applyAlignment="1" applyBorder="1" applyFont="1">
      <alignment horizontal="left" readingOrder="0" shrinkToFit="0" vertical="center" wrapText="0"/>
    </xf>
    <xf borderId="32" fillId="5" fontId="53" numFmtId="0" xfId="0" applyAlignment="1" applyBorder="1" applyFont="1">
      <alignment horizontal="left" shrinkToFit="0" vertical="center" wrapText="0"/>
    </xf>
    <xf borderId="31" fillId="5" fontId="53" numFmtId="0" xfId="0" applyAlignment="1" applyBorder="1" applyFont="1">
      <alignment horizontal="left" readingOrder="0" vertical="center"/>
    </xf>
    <xf borderId="33" fillId="5" fontId="53" numFmtId="0" xfId="0" applyAlignment="1" applyBorder="1" applyFont="1">
      <alignment horizontal="left" readingOrder="0" vertical="center"/>
    </xf>
    <xf borderId="34" fillId="5" fontId="24" numFmtId="0" xfId="0" applyAlignment="1" applyBorder="1" applyFont="1">
      <alignment horizontal="left" readingOrder="0" vertical="center"/>
    </xf>
    <xf borderId="35" fillId="5" fontId="53" numFmtId="0" xfId="0" applyAlignment="1" applyBorder="1" applyFont="1">
      <alignment horizontal="left" vertical="center"/>
    </xf>
    <xf borderId="36" fillId="5" fontId="47" numFmtId="168" xfId="0" applyAlignment="1" applyBorder="1" applyFont="1" applyNumberFormat="1">
      <alignment horizontal="center" readingOrder="0" vertical="center"/>
    </xf>
    <xf borderId="34" fillId="5" fontId="47" numFmtId="168" xfId="0" applyAlignment="1" applyBorder="1" applyFont="1" applyNumberFormat="1">
      <alignment horizontal="center" readingOrder="0" vertical="center"/>
    </xf>
    <xf borderId="37" fillId="5" fontId="47" numFmtId="168" xfId="0" applyAlignment="1" applyBorder="1" applyFont="1" applyNumberFormat="1">
      <alignment horizontal="center" readingOrder="0" vertical="center"/>
    </xf>
    <xf borderId="31" fillId="5" fontId="53" numFmtId="166" xfId="0" applyAlignment="1" applyBorder="1" applyFont="1" applyNumberFormat="1">
      <alignment horizontal="center" readingOrder="0" vertical="center"/>
    </xf>
    <xf borderId="38" fillId="5" fontId="53" numFmtId="0" xfId="0" applyAlignment="1" applyBorder="1" applyFont="1">
      <alignment horizontal="center" readingOrder="0" vertical="center"/>
    </xf>
    <xf borderId="39" fillId="5" fontId="53" numFmtId="0" xfId="0" applyAlignment="1" applyBorder="1" applyFont="1">
      <alignment horizontal="center" readingOrder="0" vertical="center"/>
    </xf>
    <xf borderId="0" fillId="8" fontId="53" numFmtId="0" xfId="0" applyAlignment="1" applyFont="1">
      <alignment horizontal="left" readingOrder="0" shrinkToFit="0" vertical="center" wrapText="0"/>
    </xf>
    <xf quotePrefix="1" borderId="0" fillId="8" fontId="53" numFmtId="0" xfId="0" applyAlignment="1" applyFont="1">
      <alignment horizontal="left" readingOrder="0" shrinkToFit="0" vertical="center" wrapText="0"/>
    </xf>
    <xf borderId="9" fillId="8" fontId="53" numFmtId="0" xfId="0" applyAlignment="1" applyBorder="1" applyFont="1">
      <alignment horizontal="left" shrinkToFit="0" vertical="center" wrapText="0"/>
    </xf>
    <xf borderId="0" fillId="7" fontId="47" numFmtId="168" xfId="0" applyAlignment="1" applyFont="1" applyNumberFormat="1">
      <alignment horizontal="center" readingOrder="0" vertical="center"/>
    </xf>
    <xf borderId="9" fillId="8" fontId="47" numFmtId="168" xfId="0" applyAlignment="1" applyBorder="1" applyFont="1" applyNumberFormat="1">
      <alignment horizontal="center" readingOrder="0" vertical="center"/>
    </xf>
    <xf borderId="0" fillId="8" fontId="53" numFmtId="168" xfId="0" applyAlignment="1" applyFont="1" applyNumberFormat="1">
      <alignment horizontal="center" readingOrder="0" vertical="center"/>
    </xf>
    <xf borderId="9" fillId="8" fontId="53" numFmtId="0" xfId="0" applyAlignment="1" applyBorder="1" applyFont="1">
      <alignment horizontal="left" vertical="center"/>
    </xf>
    <xf borderId="0" fillId="8" fontId="47" numFmtId="168" xfId="0" applyAlignment="1" applyFont="1" applyNumberFormat="1">
      <alignment horizontal="center" readingOrder="0" vertical="center"/>
    </xf>
    <xf borderId="0" fillId="5" fontId="53" numFmtId="0" xfId="0" applyAlignment="1" applyFont="1">
      <alignment horizontal="left" readingOrder="0" shrinkToFit="0" vertical="center" wrapText="0"/>
    </xf>
    <xf borderId="9" fillId="5" fontId="53" numFmtId="0" xfId="0" applyAlignment="1" applyBorder="1" applyFont="1">
      <alignment horizontal="left" shrinkToFit="0" vertical="center" wrapText="0"/>
    </xf>
    <xf borderId="18" fillId="0" fontId="47" numFmtId="0" xfId="0" applyAlignment="1" applyBorder="1" applyFont="1">
      <alignment horizontal="center" readingOrder="0" vertical="center"/>
    </xf>
    <xf borderId="9" fillId="5" fontId="47" numFmtId="168" xfId="0" applyAlignment="1" applyBorder="1" applyFont="1" applyNumberFormat="1">
      <alignment horizontal="center" readingOrder="0" vertical="center"/>
    </xf>
    <xf borderId="0" fillId="5" fontId="53" numFmtId="168" xfId="0" applyAlignment="1" applyFont="1" applyNumberFormat="1">
      <alignment horizontal="center" readingOrder="0" vertical="center"/>
    </xf>
    <xf borderId="9" fillId="5" fontId="53" numFmtId="0" xfId="0" applyAlignment="1" applyBorder="1" applyFont="1">
      <alignment horizontal="left" vertical="center"/>
    </xf>
    <xf borderId="19" fillId="0" fontId="47" numFmtId="0" xfId="0" applyAlignment="1" applyBorder="1" applyFont="1">
      <alignment horizontal="center" readingOrder="0" vertical="center"/>
    </xf>
    <xf borderId="0" fillId="0" fontId="53" numFmtId="0" xfId="0" applyAlignment="1" applyFont="1">
      <alignment horizontal="center" vertical="center"/>
    </xf>
    <xf borderId="0" fillId="0" fontId="52" numFmtId="168" xfId="0" applyAlignment="1" applyFont="1" applyNumberFormat="1">
      <alignment horizontal="left" readingOrder="0" vertical="center"/>
    </xf>
    <xf borderId="0" fillId="0" fontId="53" numFmtId="0" xfId="0" applyAlignment="1" applyFont="1">
      <alignment horizontal="center" readingOrder="0" vertical="center"/>
    </xf>
    <xf borderId="16" fillId="0" fontId="47" numFmtId="0" xfId="0" applyAlignment="1" applyBorder="1" applyFont="1">
      <alignment horizontal="center" readingOrder="0" vertical="center"/>
    </xf>
    <xf borderId="0" fillId="0" fontId="53" numFmtId="0" xfId="0" applyAlignment="1" applyFont="1">
      <alignment horizontal="left" readingOrder="0" vertical="center"/>
    </xf>
    <xf borderId="0" fillId="0" fontId="53" numFmtId="0" xfId="0" applyAlignment="1" applyFont="1">
      <alignment horizontal="left" readingOrder="0" shrinkToFit="0" vertical="center" wrapText="0"/>
    </xf>
    <xf quotePrefix="1" borderId="0" fillId="0" fontId="53" numFmtId="0" xfId="0" applyAlignment="1" applyFont="1">
      <alignment horizontal="left" readingOrder="0" shrinkToFit="0" vertical="center" wrapText="0"/>
    </xf>
    <xf borderId="9" fillId="0" fontId="53" numFmtId="0" xfId="0" applyAlignment="1" applyBorder="1" applyFont="1">
      <alignment horizontal="left" shrinkToFit="0" vertical="center" wrapText="0"/>
    </xf>
    <xf borderId="9" fillId="0" fontId="47" numFmtId="168" xfId="0" applyAlignment="1" applyBorder="1" applyFont="1" applyNumberFormat="1">
      <alignment horizontal="center" readingOrder="0" vertical="center"/>
    </xf>
    <xf borderId="14" fillId="0" fontId="47" numFmtId="0" xfId="0" applyAlignment="1" applyBorder="1" applyFont="1">
      <alignment horizontal="center" readingOrder="0" vertical="center"/>
    </xf>
    <xf borderId="0" fillId="0" fontId="53" numFmtId="168" xfId="0" applyAlignment="1" applyFont="1" applyNumberFormat="1">
      <alignment horizontal="center" readingOrder="0" vertical="center"/>
    </xf>
    <xf borderId="25" fillId="0" fontId="53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left" readingOrder="0" vertical="center"/>
    </xf>
    <xf borderId="9" fillId="0" fontId="53" numFmtId="0" xfId="0" applyAlignment="1" applyBorder="1" applyFont="1">
      <alignment horizontal="left" vertical="center"/>
    </xf>
    <xf borderId="0" fillId="0" fontId="47" numFmtId="0" xfId="0" applyAlignment="1" applyFont="1">
      <alignment horizontal="center" readingOrder="0" vertical="center"/>
    </xf>
    <xf borderId="0" fillId="0" fontId="53" numFmtId="166" xfId="0" applyAlignment="1" applyFont="1" applyNumberFormat="1">
      <alignment horizontal="center" readingOrder="0" vertical="center"/>
    </xf>
    <xf borderId="21" fillId="0" fontId="53" numFmtId="0" xfId="0" applyAlignment="1" applyBorder="1" applyFont="1">
      <alignment horizontal="left" shrinkToFit="0" vertical="center" wrapText="0"/>
    </xf>
    <xf borderId="15" fillId="0" fontId="47" numFmtId="0" xfId="0" applyAlignment="1" applyBorder="1" applyFont="1">
      <alignment horizontal="center" readingOrder="0" vertical="center"/>
    </xf>
    <xf borderId="16" fillId="0" fontId="47" numFmtId="168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left" readingOrder="0" vertical="center"/>
    </xf>
    <xf borderId="0" fillId="0" fontId="53" numFmtId="0" xfId="0" applyAlignment="1" applyFont="1">
      <alignment horizontal="left" readingOrder="0" shrinkToFit="0" vertical="center" wrapText="0"/>
    </xf>
    <xf borderId="9" fillId="0" fontId="10" numFmtId="0" xfId="0" applyAlignment="1" applyBorder="1" applyFont="1">
      <alignment horizontal="left" shrinkToFit="0" vertical="center" wrapText="0"/>
    </xf>
    <xf borderId="9" fillId="0" fontId="47" numFmtId="0" xfId="0" applyAlignment="1" applyBorder="1" applyFont="1">
      <alignment horizontal="center" readingOrder="0" vertical="center"/>
    </xf>
    <xf borderId="21" fillId="0" fontId="10" numFmtId="0" xfId="0" applyAlignment="1" applyBorder="1" applyFont="1">
      <alignment horizontal="left" shrinkToFit="0" vertical="center" wrapText="0"/>
    </xf>
    <xf borderId="0" fillId="7" fontId="47" numFmtId="170" xfId="0" applyAlignment="1" applyFont="1" applyNumberFormat="1">
      <alignment horizontal="center" readingOrder="0" vertical="center"/>
    </xf>
    <xf borderId="9" fillId="8" fontId="47" numFmtId="0" xfId="0" applyAlignment="1" applyBorder="1" applyFont="1">
      <alignment horizontal="center" readingOrder="0" vertical="center"/>
    </xf>
    <xf borderId="0" fillId="7" fontId="10" numFmtId="168" xfId="0" applyAlignment="1" applyFont="1" applyNumberFormat="1">
      <alignment horizontal="center" readingOrder="0" vertical="center"/>
    </xf>
    <xf borderId="9" fillId="0" fontId="10" numFmtId="168" xfId="0" applyAlignment="1" applyBorder="1" applyFont="1" applyNumberFormat="1">
      <alignment horizontal="center" readingOrder="0" vertical="center"/>
    </xf>
    <xf borderId="0" fillId="0" fontId="10" numFmtId="168" xfId="0" applyAlignment="1" applyFont="1" applyNumberFormat="1">
      <alignment horizontal="center" readingOrder="0" vertical="center"/>
    </xf>
    <xf borderId="0" fillId="0" fontId="10" numFmtId="166" xfId="0" applyAlignment="1" applyFont="1" applyNumberFormat="1">
      <alignment horizontal="center" readingOrder="0" vertical="center"/>
    </xf>
    <xf borderId="0" fillId="0" fontId="65" numFmtId="0" xfId="0" applyAlignment="1" applyFont="1">
      <alignment horizontal="center" readingOrder="0"/>
    </xf>
    <xf borderId="9" fillId="5" fontId="65" numFmtId="0" xfId="0" applyAlignment="1" applyBorder="1" applyFont="1">
      <alignment horizontal="left" shrinkToFit="0" wrapText="0"/>
    </xf>
    <xf borderId="0" fillId="8" fontId="65" numFmtId="0" xfId="0" applyFont="1"/>
    <xf borderId="9" fillId="8" fontId="65" numFmtId="0" xfId="0" applyBorder="1" applyFont="1"/>
    <xf borderId="0" fillId="8" fontId="21" numFmtId="0" xfId="0" applyAlignment="1" applyFont="1">
      <alignment horizontal="center" readingOrder="0"/>
    </xf>
    <xf borderId="9" fillId="8" fontId="65" numFmtId="168" xfId="0" applyBorder="1" applyFont="1" applyNumberFormat="1"/>
    <xf borderId="0" fillId="0" fontId="65" numFmtId="0" xfId="0" applyAlignment="1" applyFont="1">
      <alignment readingOrder="0"/>
    </xf>
    <xf quotePrefix="1" borderId="0" fillId="8" fontId="52" numFmtId="0" xfId="0" applyAlignment="1" applyFont="1">
      <alignment horizontal="left" readingOrder="0" shrinkToFit="0" vertical="center" wrapText="0"/>
    </xf>
    <xf borderId="0" fillId="8" fontId="52" numFmtId="0" xfId="0" applyAlignment="1" applyFont="1">
      <alignment horizontal="left" readingOrder="0" vertical="center"/>
    </xf>
    <xf borderId="0" fillId="7" fontId="24" numFmtId="168" xfId="0" applyAlignment="1" applyFont="1" applyNumberFormat="1">
      <alignment horizontal="center" readingOrder="0" vertical="center"/>
    </xf>
    <xf borderId="9" fillId="8" fontId="24" numFmtId="168" xfId="0" applyAlignment="1" applyBorder="1" applyFont="1" applyNumberFormat="1">
      <alignment horizontal="center" readingOrder="0" vertical="center"/>
    </xf>
    <xf borderId="0" fillId="8" fontId="52" numFmtId="168" xfId="0" applyAlignment="1" applyFont="1" applyNumberFormat="1">
      <alignment horizontal="center" readingOrder="0" vertical="center"/>
    </xf>
    <xf borderId="9" fillId="8" fontId="53" numFmtId="0" xfId="0" applyAlignment="1" applyBorder="1" applyFont="1">
      <alignment horizontal="left" readingOrder="0" vertical="center"/>
    </xf>
    <xf borderId="0" fillId="8" fontId="52" numFmtId="166" xfId="0" applyAlignment="1" applyFont="1" applyNumberFormat="1">
      <alignment horizontal="center" readingOrder="0" vertical="center"/>
    </xf>
    <xf borderId="0" fillId="8" fontId="53" numFmtId="0" xfId="0" applyAlignment="1" applyFont="1">
      <alignment horizontal="left" readingOrder="0" shrinkToFit="0" vertical="center" wrapText="0"/>
    </xf>
    <xf borderId="9" fillId="8" fontId="10" numFmtId="0" xfId="0" applyAlignment="1" applyBorder="1" applyFont="1">
      <alignment horizontal="left" shrinkToFit="0" vertical="center" wrapText="0"/>
    </xf>
    <xf borderId="0" fillId="8" fontId="10" numFmtId="0" xfId="0" applyAlignment="1" applyFont="1">
      <alignment horizontal="center" readingOrder="0" vertical="center"/>
    </xf>
    <xf borderId="9" fillId="8" fontId="10" numFmtId="168" xfId="0" applyAlignment="1" applyBorder="1" applyFont="1" applyNumberFormat="1">
      <alignment horizontal="center" readingOrder="0" vertical="center"/>
    </xf>
    <xf borderId="0" fillId="8" fontId="10" numFmtId="168" xfId="0" applyAlignment="1" applyFont="1" applyNumberFormat="1">
      <alignment horizontal="center" readingOrder="0" vertical="center"/>
    </xf>
    <xf borderId="0" fillId="8" fontId="10" numFmtId="0" xfId="0" applyAlignment="1" applyFont="1">
      <alignment horizontal="left" vertical="center"/>
    </xf>
    <xf borderId="9" fillId="8" fontId="10" numFmtId="168" xfId="0" applyAlignment="1" applyBorder="1" applyFont="1" applyNumberFormat="1">
      <alignment horizontal="center" vertical="center"/>
    </xf>
    <xf borderId="0" fillId="0" fontId="47" numFmtId="168" xfId="0" applyAlignment="1" applyFont="1" applyNumberFormat="1">
      <alignment horizontal="center" readingOrder="0" vertical="center"/>
    </xf>
    <xf borderId="21" fillId="0" fontId="69" numFmtId="0" xfId="0" applyAlignment="1" applyBorder="1" applyFont="1">
      <alignment horizontal="left" readingOrder="0" shrinkToFit="0" vertical="center" wrapText="0"/>
    </xf>
    <xf borderId="0" fillId="5" fontId="47" numFmtId="168" xfId="0" applyAlignment="1" applyFont="1" applyNumberFormat="1">
      <alignment horizontal="center" readingOrder="0" vertical="center"/>
    </xf>
    <xf borderId="9" fillId="5" fontId="47" numFmtId="0" xfId="0" applyAlignment="1" applyBorder="1" applyFont="1">
      <alignment horizontal="center" readingOrder="0" vertical="center"/>
    </xf>
    <xf borderId="0" fillId="0" fontId="53" numFmtId="0" xfId="0" applyAlignment="1" applyFont="1">
      <alignment horizontal="left" shrinkToFit="0" vertical="center" wrapText="0"/>
    </xf>
    <xf borderId="0" fillId="0" fontId="53" numFmtId="166" xfId="0" applyAlignment="1" applyFont="1" applyNumberFormat="1">
      <alignment horizontal="center" vertical="center"/>
    </xf>
    <xf borderId="0" fillId="0" fontId="10" numFmtId="0" xfId="0" applyAlignment="1" applyFont="1">
      <alignment horizontal="left" shrinkToFit="0" wrapText="0"/>
    </xf>
    <xf borderId="0" fillId="8" fontId="66" numFmtId="168" xfId="0" applyAlignment="1" applyFont="1" applyNumberFormat="1">
      <alignment horizontal="left" readingOrder="0"/>
    </xf>
    <xf borderId="0" fillId="0" fontId="65" numFmtId="0" xfId="0" applyAlignment="1" applyFont="1">
      <alignment horizontal="center"/>
    </xf>
    <xf borderId="0" fillId="8" fontId="65" numFmtId="0" xfId="0" applyAlignment="1" applyFont="1">
      <alignment readingOrder="0"/>
    </xf>
    <xf borderId="0" fillId="8" fontId="65" numFmtId="0" xfId="0" applyAlignment="1" applyFont="1">
      <alignment horizontal="left" readingOrder="0" shrinkToFit="0" wrapText="0"/>
    </xf>
    <xf borderId="0" fillId="8" fontId="65" numFmtId="0" xfId="0" applyAlignment="1" applyFont="1">
      <alignment horizontal="left" shrinkToFit="0" wrapText="0"/>
    </xf>
    <xf borderId="9" fillId="8" fontId="65" numFmtId="0" xfId="0" applyAlignment="1" applyBorder="1" applyFont="1">
      <alignment horizontal="left" shrinkToFit="0" wrapText="0"/>
    </xf>
    <xf borderId="0" fillId="8" fontId="65" numFmtId="0" xfId="0" applyAlignment="1" applyFont="1">
      <alignment horizontal="left" readingOrder="0"/>
    </xf>
    <xf borderId="0" fillId="8" fontId="65" numFmtId="0" xfId="0" applyAlignment="1" applyFont="1">
      <alignment horizontal="center" readingOrder="0"/>
    </xf>
    <xf borderId="0" fillId="7" fontId="21" numFmtId="168" xfId="0" applyAlignment="1" applyFont="1" applyNumberFormat="1">
      <alignment horizontal="center" readingOrder="0"/>
    </xf>
    <xf borderId="9" fillId="8" fontId="21" numFmtId="168" xfId="0" applyAlignment="1" applyBorder="1" applyFont="1" applyNumberFormat="1">
      <alignment horizontal="center" readingOrder="0"/>
    </xf>
    <xf borderId="0" fillId="8" fontId="21" numFmtId="168" xfId="0" applyAlignment="1" applyFont="1" applyNumberFormat="1">
      <alignment horizontal="center"/>
    </xf>
    <xf borderId="0" fillId="8" fontId="65" numFmtId="166" xfId="0" applyAlignment="1" applyFont="1" applyNumberFormat="1">
      <alignment horizontal="center" readingOrder="0"/>
    </xf>
    <xf borderId="0" fillId="0" fontId="65" numFmtId="0" xfId="0" applyFont="1"/>
    <xf borderId="21" fillId="0" fontId="65" numFmtId="0" xfId="0" applyAlignment="1" applyBorder="1" applyFont="1">
      <alignment horizontal="left" shrinkToFit="0" wrapText="0"/>
    </xf>
    <xf borderId="0" fillId="8" fontId="65" numFmtId="0" xfId="0" applyAlignment="1" applyFont="1">
      <alignment horizontal="left"/>
    </xf>
    <xf borderId="0" fillId="8" fontId="65" numFmtId="168" xfId="0" applyAlignment="1" applyFont="1" applyNumberFormat="1">
      <alignment horizontal="center" readingOrder="0"/>
    </xf>
    <xf borderId="21" fillId="0" fontId="70" numFmtId="0" xfId="0" applyAlignment="1" applyBorder="1" applyFont="1">
      <alignment horizontal="left" readingOrder="0" shrinkToFit="0" vertical="center" wrapText="0"/>
    </xf>
    <xf borderId="22" fillId="8" fontId="10" numFmtId="0" xfId="0" applyAlignment="1" applyBorder="1" applyFont="1">
      <alignment horizontal="left" shrinkToFit="0" wrapText="0"/>
    </xf>
    <xf borderId="9" fillId="0" fontId="53" numFmtId="0" xfId="0" applyAlignment="1" applyBorder="1" applyFont="1">
      <alignment horizontal="left" readingOrder="0" vertical="center"/>
    </xf>
    <xf borderId="21" fillId="5" fontId="10" numFmtId="0" xfId="0" applyAlignment="1" applyBorder="1" applyFont="1">
      <alignment horizontal="left" shrinkToFit="0" vertical="center" wrapText="0"/>
    </xf>
    <xf borderId="0" fillId="0" fontId="66" numFmtId="168" xfId="0" applyAlignment="1" applyFont="1" applyNumberFormat="1">
      <alignment horizontal="left" readingOrder="0"/>
    </xf>
    <xf borderId="0" fillId="0" fontId="65" numFmtId="0" xfId="0" applyAlignment="1" applyFont="1">
      <alignment horizontal="center" readingOrder="0" vertical="bottom"/>
    </xf>
    <xf borderId="0" fillId="0" fontId="65" numFmtId="0" xfId="0" applyAlignment="1" applyFont="1">
      <alignment horizontal="center"/>
    </xf>
    <xf borderId="0" fillId="0" fontId="65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65" numFmtId="0" xfId="0" applyAlignment="1" applyFont="1">
      <alignment readingOrder="0" vertical="bottom"/>
    </xf>
    <xf borderId="22" fillId="5" fontId="67" numFmtId="0" xfId="0" applyAlignment="1" applyBorder="1" applyFont="1">
      <alignment readingOrder="0" shrinkToFit="0" vertical="bottom" wrapText="0"/>
    </xf>
    <xf quotePrefix="1" borderId="0" fillId="5" fontId="65" numFmtId="0" xfId="0" applyAlignment="1" applyFont="1">
      <alignment readingOrder="0" shrinkToFit="0" vertical="bottom" wrapText="0"/>
    </xf>
    <xf borderId="9" fillId="0" fontId="65" numFmtId="0" xfId="0" applyAlignment="1" applyBorder="1" applyFont="1">
      <alignment vertical="bottom"/>
    </xf>
    <xf borderId="0" fillId="0" fontId="65" numFmtId="0" xfId="0" applyAlignment="1" applyFont="1">
      <alignment horizontal="left" readingOrder="0" vertical="bottom"/>
    </xf>
    <xf borderId="0" fillId="7" fontId="65" numFmtId="168" xfId="0" applyAlignment="1" applyFont="1" applyNumberFormat="1">
      <alignment horizontal="center" readingOrder="0"/>
    </xf>
    <xf borderId="9" fillId="0" fontId="65" numFmtId="168" xfId="0" applyAlignment="1" applyBorder="1" applyFont="1" applyNumberFormat="1">
      <alignment horizontal="center" readingOrder="0"/>
    </xf>
    <xf borderId="14" fillId="0" fontId="21" numFmtId="0" xfId="0" applyAlignment="1" applyBorder="1" applyFont="1">
      <alignment horizontal="center"/>
    </xf>
    <xf borderId="0" fillId="0" fontId="65" numFmtId="168" xfId="0" applyAlignment="1" applyFont="1" applyNumberFormat="1">
      <alignment horizontal="center" readingOrder="0" vertical="bottom"/>
    </xf>
    <xf borderId="0" fillId="8" fontId="65" numFmtId="0" xfId="0" applyAlignment="1" applyFont="1">
      <alignment vertical="bottom"/>
    </xf>
    <xf borderId="9" fillId="8" fontId="65" numFmtId="0" xfId="0" applyAlignment="1" applyBorder="1" applyFont="1">
      <alignment vertical="bottom"/>
    </xf>
    <xf borderId="0" fillId="8" fontId="21" numFmtId="0" xfId="0" applyAlignment="1" applyFont="1">
      <alignment horizontal="center" readingOrder="0"/>
    </xf>
    <xf borderId="0" fillId="8" fontId="21" numFmtId="168" xfId="0" applyAlignment="1" applyFont="1" applyNumberFormat="1">
      <alignment horizontal="center"/>
    </xf>
    <xf borderId="9" fillId="8" fontId="65" numFmtId="168" xfId="0" applyAlignment="1" applyBorder="1" applyFont="1" applyNumberFormat="1">
      <alignment vertical="bottom"/>
    </xf>
    <xf borderId="0" fillId="0" fontId="65" numFmtId="166" xfId="0" applyAlignment="1" applyFont="1" applyNumberFormat="1">
      <alignment horizontal="center" readingOrder="0" vertical="bottom"/>
    </xf>
    <xf borderId="0" fillId="0" fontId="65" numFmtId="166" xfId="0" applyAlignment="1" applyFont="1" applyNumberFormat="1">
      <alignment vertical="bottom"/>
    </xf>
    <xf borderId="21" fillId="0" fontId="71" numFmtId="0" xfId="0" applyAlignment="1" applyBorder="1" applyFont="1">
      <alignment readingOrder="0" vertical="bottom"/>
    </xf>
    <xf borderId="21" fillId="0" fontId="65" numFmtId="0" xfId="0" applyAlignment="1" applyBorder="1" applyFont="1">
      <alignment vertical="bottom"/>
    </xf>
    <xf borderId="0" fillId="0" fontId="21" numFmtId="0" xfId="0" applyAlignment="1" applyFont="1">
      <alignment horizontal="center" readingOrder="0"/>
    </xf>
    <xf borderId="9" fillId="0" fontId="21" numFmtId="168" xfId="0" applyAlignment="1" applyBorder="1" applyFont="1" applyNumberFormat="1">
      <alignment horizontal="center"/>
    </xf>
    <xf borderId="0" fillId="0" fontId="65" numFmtId="0" xfId="0" applyFont="1"/>
    <xf borderId="0" fillId="0" fontId="66" numFmtId="168" xfId="0" applyAlignment="1" applyFont="1" applyNumberFormat="1">
      <alignment horizontal="left"/>
    </xf>
    <xf borderId="0" fillId="0" fontId="65" numFmtId="0" xfId="0" applyAlignment="1" applyFont="1">
      <alignment horizontal="center" vertical="bottom"/>
    </xf>
    <xf borderId="16" fillId="0" fontId="65" numFmtId="0" xfId="0" applyBorder="1" applyFont="1"/>
    <xf borderId="22" fillId="5" fontId="65" numFmtId="0" xfId="0" applyAlignment="1" applyBorder="1" applyFont="1">
      <alignment shrinkToFit="0" wrapText="0"/>
    </xf>
    <xf borderId="0" fillId="5" fontId="65" numFmtId="0" xfId="0" applyFont="1"/>
    <xf borderId="9" fillId="0" fontId="65" numFmtId="0" xfId="0" applyBorder="1" applyFont="1"/>
    <xf borderId="0" fillId="0" fontId="65" numFmtId="0" xfId="0" applyAlignment="1" applyFont="1">
      <alignment horizontal="left"/>
    </xf>
    <xf borderId="0" fillId="0" fontId="65" numFmtId="168" xfId="0" applyAlignment="1" applyFont="1" applyNumberFormat="1">
      <alignment horizontal="center" readingOrder="0"/>
    </xf>
    <xf borderId="0" fillId="0" fontId="21" numFmtId="0" xfId="0" applyAlignment="1" applyFont="1">
      <alignment horizontal="center"/>
    </xf>
    <xf borderId="0" fillId="8" fontId="10" numFmtId="0" xfId="0" applyAlignment="1" applyFont="1">
      <alignment horizontal="left" readingOrder="0" shrinkToFit="0" vertical="center" wrapText="0"/>
    </xf>
    <xf borderId="9" fillId="8" fontId="65" numFmtId="0" xfId="0" applyAlignment="1" applyBorder="1" applyFont="1">
      <alignment horizontal="left" shrinkToFit="0" wrapText="0"/>
    </xf>
    <xf borderId="9" fillId="8" fontId="65" numFmtId="0" xfId="0" applyBorder="1" applyFont="1"/>
    <xf borderId="9" fillId="8" fontId="65" numFmtId="168" xfId="0" applyBorder="1" applyFont="1" applyNumberFormat="1"/>
    <xf borderId="0" fillId="0" fontId="53" numFmtId="0" xfId="0" applyAlignment="1" applyFont="1">
      <alignment readingOrder="0"/>
    </xf>
    <xf borderId="0" fillId="8" fontId="65" numFmtId="0" xfId="0" applyAlignment="1" applyFont="1">
      <alignment horizontal="center"/>
    </xf>
    <xf borderId="0" fillId="8" fontId="10" numFmtId="0" xfId="0" applyAlignment="1" applyFont="1">
      <alignment readingOrder="0"/>
    </xf>
    <xf borderId="0" fillId="8" fontId="67" numFmtId="0" xfId="0" applyAlignment="1" applyFont="1">
      <alignment readingOrder="0" shrinkToFit="0" vertical="bottom" wrapText="0"/>
    </xf>
    <xf quotePrefix="1" borderId="0" fillId="8" fontId="65" numFmtId="0" xfId="0" applyAlignment="1" applyFont="1">
      <alignment readingOrder="0" shrinkToFit="0" vertical="bottom" wrapText="0"/>
    </xf>
    <xf borderId="9" fillId="8" fontId="65" numFmtId="168" xfId="0" applyAlignment="1" applyBorder="1" applyFont="1" applyNumberFormat="1">
      <alignment horizontal="center" readingOrder="0"/>
    </xf>
    <xf borderId="0" fillId="8" fontId="65" numFmtId="168" xfId="0" applyAlignment="1" applyFont="1" applyNumberFormat="1">
      <alignment horizontal="center" readingOrder="0" vertical="bottom"/>
    </xf>
    <xf borderId="0" fillId="8" fontId="65" numFmtId="166" xfId="0" applyAlignment="1" applyFont="1" applyNumberFormat="1">
      <alignment horizontal="center" readingOrder="0" vertical="bottom"/>
    </xf>
    <xf borderId="21" fillId="8" fontId="72" numFmtId="0" xfId="0" applyAlignment="1" applyBorder="1" applyFont="1">
      <alignment readingOrder="0" vertical="bottom"/>
    </xf>
    <xf borderId="9" fillId="8" fontId="21" numFmtId="168" xfId="0" applyAlignment="1" applyBorder="1" applyFont="1" applyNumberFormat="1">
      <alignment horizontal="center"/>
    </xf>
    <xf borderId="0" fillId="8" fontId="10" numFmtId="0" xfId="0" applyAlignment="1" applyFont="1">
      <alignment horizontal="left" shrinkToFit="0" wrapText="0"/>
    </xf>
    <xf borderId="0" fillId="0" fontId="52" numFmtId="0" xfId="0" applyAlignment="1" applyFont="1">
      <alignment horizontal="center" readingOrder="0" vertical="center"/>
    </xf>
    <xf borderId="0" fillId="0" fontId="52" numFmtId="0" xfId="0" applyAlignment="1" applyFont="1">
      <alignment horizontal="left" readingOrder="0" vertical="center"/>
    </xf>
    <xf borderId="22" fillId="8" fontId="52" numFmtId="0" xfId="0" applyAlignment="1" applyBorder="1" applyFont="1">
      <alignment horizontal="left" readingOrder="0" shrinkToFit="0" vertical="center" wrapText="0"/>
    </xf>
    <xf quotePrefix="1" borderId="22" fillId="8" fontId="52" numFmtId="0" xfId="0" applyAlignment="1" applyBorder="1" applyFont="1">
      <alignment horizontal="left" readingOrder="0" shrinkToFit="0" vertical="center" wrapText="0"/>
    </xf>
    <xf borderId="9" fillId="0" fontId="24" numFmtId="168" xfId="0" applyAlignment="1" applyBorder="1" applyFont="1" applyNumberFormat="1">
      <alignment horizontal="center" readingOrder="0" vertical="center"/>
    </xf>
    <xf borderId="0" fillId="0" fontId="52" numFmtId="168" xfId="0" applyAlignment="1" applyFont="1" applyNumberFormat="1">
      <alignment horizontal="center" readingOrder="0" vertical="center"/>
    </xf>
    <xf borderId="0" fillId="0" fontId="52" numFmtId="166" xfId="0" applyAlignment="1" applyFont="1" applyNumberFormat="1">
      <alignment horizontal="center" readingOrder="0" vertical="center"/>
    </xf>
    <xf borderId="22" fillId="8" fontId="52" numFmtId="0" xfId="0" applyAlignment="1" applyBorder="1" applyFont="1">
      <alignment horizontal="center" readingOrder="0" vertical="center"/>
    </xf>
    <xf borderId="22" fillId="8" fontId="52" numFmtId="0" xfId="0" applyAlignment="1" applyBorder="1" applyFont="1">
      <alignment horizontal="left" readingOrder="0" vertical="center"/>
    </xf>
    <xf borderId="23" fillId="8" fontId="52" numFmtId="0" xfId="0" applyAlignment="1" applyBorder="1" applyFont="1">
      <alignment horizontal="left" readingOrder="0" vertical="center"/>
    </xf>
    <xf borderId="23" fillId="8" fontId="52" numFmtId="0" xfId="0" applyAlignment="1" applyBorder="1" applyFont="1">
      <alignment horizontal="center" readingOrder="0" vertical="center"/>
    </xf>
    <xf borderId="18" fillId="7" fontId="24" numFmtId="168" xfId="0" applyAlignment="1" applyBorder="1" applyFont="1" applyNumberFormat="1">
      <alignment horizontal="center" readingOrder="0" vertical="center"/>
    </xf>
    <xf borderId="22" fillId="8" fontId="52" numFmtId="168" xfId="0" applyAlignment="1" applyBorder="1" applyFont="1" applyNumberFormat="1">
      <alignment horizontal="center" readingOrder="0" vertical="center"/>
    </xf>
    <xf borderId="23" fillId="8" fontId="52" numFmtId="166" xfId="0" applyAlignment="1" applyBorder="1" applyFont="1" applyNumberFormat="1">
      <alignment horizontal="center" readingOrder="0" vertical="center"/>
    </xf>
    <xf borderId="23" fillId="8" fontId="65" numFmtId="0" xfId="0" applyAlignment="1" applyBorder="1" applyFont="1">
      <alignment horizontal="center"/>
    </xf>
    <xf quotePrefix="1" borderId="22" fillId="8" fontId="65" numFmtId="0" xfId="0" applyAlignment="1" applyBorder="1" applyFont="1">
      <alignment readingOrder="0" shrinkToFit="0" vertical="bottom" wrapText="0"/>
    </xf>
    <xf borderId="19" fillId="8" fontId="21" numFmtId="168" xfId="0" applyAlignment="1" applyBorder="1" applyFont="1" applyNumberFormat="1">
      <alignment horizontal="center"/>
    </xf>
    <xf borderId="22" fillId="8" fontId="53" numFmtId="0" xfId="0" applyAlignment="1" applyBorder="1" applyFont="1">
      <alignment horizontal="left" readingOrder="0" shrinkToFit="0" vertical="center" wrapText="0"/>
    </xf>
    <xf borderId="26" fillId="8" fontId="10" numFmtId="168" xfId="0" applyAlignment="1" applyBorder="1" applyFont="1" applyNumberFormat="1">
      <alignment horizontal="center" readingOrder="0" vertical="center"/>
    </xf>
    <xf borderId="22" fillId="8" fontId="10" numFmtId="168" xfId="0" applyAlignment="1" applyBorder="1" applyFont="1" applyNumberFormat="1">
      <alignment horizontal="center" readingOrder="0" vertical="center"/>
    </xf>
    <xf borderId="16" fillId="8" fontId="10" numFmtId="168" xfId="0" applyAlignment="1" applyBorder="1" applyFont="1" applyNumberFormat="1">
      <alignment horizontal="center" vertical="center"/>
    </xf>
    <xf borderId="23" fillId="5" fontId="10" numFmtId="0" xfId="0" applyAlignment="1" applyBorder="1" applyFont="1">
      <alignment horizontal="center" vertical="center"/>
    </xf>
    <xf borderId="22" fillId="5" fontId="10" numFmtId="0" xfId="0" applyAlignment="1" applyBorder="1" applyFont="1">
      <alignment horizontal="left" readingOrder="0" vertical="center"/>
    </xf>
    <xf borderId="22" fillId="5" fontId="53" numFmtId="0" xfId="0" applyAlignment="1" applyBorder="1" applyFont="1">
      <alignment horizontal="left" readingOrder="0" shrinkToFit="0" vertical="center" wrapText="0"/>
    </xf>
    <xf borderId="24" fillId="5" fontId="10" numFmtId="0" xfId="0" applyAlignment="1" applyBorder="1" applyFont="1">
      <alignment horizontal="left" shrinkToFit="0" vertical="center" wrapText="0"/>
    </xf>
    <xf borderId="23" fillId="5" fontId="10" numFmtId="0" xfId="0" applyAlignment="1" applyBorder="1" applyFont="1">
      <alignment horizontal="center" readingOrder="0" vertical="center"/>
    </xf>
    <xf borderId="0" fillId="5" fontId="10" numFmtId="0" xfId="0" applyAlignment="1" applyFont="1">
      <alignment horizontal="left" readingOrder="0" vertical="center"/>
    </xf>
    <xf borderId="18" fillId="5" fontId="10" numFmtId="0" xfId="0" applyAlignment="1" applyBorder="1" applyFont="1">
      <alignment horizontal="left" vertical="center"/>
    </xf>
    <xf borderId="22" fillId="0" fontId="65" numFmtId="0" xfId="0" applyAlignment="1" applyBorder="1" applyFont="1">
      <alignment horizontal="center" readingOrder="0"/>
    </xf>
    <xf borderId="23" fillId="0" fontId="10" numFmtId="0" xfId="0" applyAlignment="1" applyBorder="1" applyFont="1">
      <alignment horizontal="center" readingOrder="0" vertical="center"/>
    </xf>
    <xf borderId="22" fillId="0" fontId="53" numFmtId="0" xfId="0" applyAlignment="1" applyBorder="1" applyFont="1">
      <alignment horizontal="center" readingOrder="0" vertical="center"/>
    </xf>
    <xf borderId="22" fillId="0" fontId="10" numFmtId="0" xfId="0" applyAlignment="1" applyBorder="1" applyFont="1">
      <alignment horizontal="left" readingOrder="0" vertical="center"/>
    </xf>
    <xf borderId="22" fillId="0" fontId="53" numFmtId="0" xfId="0" applyAlignment="1" applyBorder="1" applyFont="1">
      <alignment horizontal="left" readingOrder="0" vertical="center"/>
    </xf>
    <xf borderId="22" fillId="0" fontId="53" numFmtId="0" xfId="0" applyAlignment="1" applyBorder="1" applyFont="1">
      <alignment horizontal="left" readingOrder="0" shrinkToFit="0" vertical="center" wrapText="0"/>
    </xf>
    <xf borderId="24" fillId="0" fontId="10" numFmtId="0" xfId="0" applyAlignment="1" applyBorder="1" applyFont="1">
      <alignment horizontal="left" shrinkToFit="0" vertical="center" wrapText="0"/>
    </xf>
    <xf borderId="23" fillId="0" fontId="53" numFmtId="0" xfId="0" applyAlignment="1" applyBorder="1" applyFont="1">
      <alignment horizontal="left" readingOrder="0" vertical="center"/>
    </xf>
    <xf borderId="25" fillId="0" fontId="53" numFmtId="0" xfId="0" applyAlignment="1" applyBorder="1" applyFont="1">
      <alignment horizontal="left" readingOrder="0" vertical="center"/>
    </xf>
    <xf borderId="26" fillId="0" fontId="47" numFmtId="168" xfId="0" applyAlignment="1" applyBorder="1" applyFont="1" applyNumberFormat="1">
      <alignment horizontal="center" readingOrder="0" vertical="center"/>
    </xf>
    <xf borderId="22" fillId="0" fontId="53" numFmtId="168" xfId="0" applyAlignment="1" applyBorder="1" applyFont="1" applyNumberFormat="1">
      <alignment horizontal="center" readingOrder="0" vertical="center"/>
    </xf>
    <xf borderId="18" fillId="8" fontId="65" numFmtId="0" xfId="0" applyBorder="1" applyFont="1"/>
    <xf borderId="26" fillId="8" fontId="65" numFmtId="0" xfId="0" applyBorder="1" applyFont="1"/>
    <xf borderId="14" fillId="8" fontId="21" numFmtId="0" xfId="0" applyAlignment="1" applyBorder="1" applyFont="1">
      <alignment horizontal="center" readingOrder="0"/>
    </xf>
    <xf borderId="18" fillId="8" fontId="21" numFmtId="168" xfId="0" applyAlignment="1" applyBorder="1" applyFont="1" applyNumberFormat="1">
      <alignment horizontal="center"/>
    </xf>
    <xf borderId="19" fillId="8" fontId="21" numFmtId="168" xfId="0" applyAlignment="1" applyBorder="1" applyFont="1" applyNumberFormat="1">
      <alignment horizontal="center"/>
    </xf>
    <xf borderId="16" fillId="8" fontId="65" numFmtId="168" xfId="0" applyBorder="1" applyFont="1" applyNumberFormat="1"/>
    <xf borderId="23" fillId="0" fontId="10" numFmtId="166" xfId="0" applyAlignment="1" applyBorder="1" applyFont="1" applyNumberFormat="1">
      <alignment horizontal="center" readingOrder="0" vertical="center"/>
    </xf>
    <xf borderId="9" fillId="0" fontId="53" numFmtId="0" xfId="0" applyAlignment="1" applyBorder="1" applyFont="1">
      <alignment horizontal="center" readingOrder="0" vertical="center"/>
    </xf>
    <xf borderId="23" fillId="0" fontId="53" numFmtId="0" xfId="0" applyAlignment="1" applyBorder="1" applyFont="1">
      <alignment horizontal="center" vertical="center"/>
    </xf>
    <xf borderId="22" fillId="0" fontId="53" numFmtId="0" xfId="0" applyAlignment="1" applyBorder="1" applyFont="1">
      <alignment horizontal="left" shrinkToFit="0" vertical="center" wrapText="0"/>
    </xf>
    <xf borderId="24" fillId="0" fontId="53" numFmtId="0" xfId="0" applyAlignment="1" applyBorder="1" applyFont="1">
      <alignment horizontal="left" shrinkToFit="0" vertical="center" wrapText="0"/>
    </xf>
    <xf borderId="23" fillId="0" fontId="53" numFmtId="0" xfId="0" applyAlignment="1" applyBorder="1" applyFont="1">
      <alignment horizontal="center" readingOrder="0" vertical="center"/>
    </xf>
    <xf borderId="18" fillId="0" fontId="24" numFmtId="0" xfId="0" applyAlignment="1" applyBorder="1" applyFont="1">
      <alignment horizontal="left" readingOrder="0" vertical="center"/>
    </xf>
    <xf borderId="26" fillId="0" fontId="53" numFmtId="0" xfId="0" applyAlignment="1" applyBorder="1" applyFont="1">
      <alignment horizontal="left" vertical="center"/>
    </xf>
    <xf borderId="18" fillId="0" fontId="47" numFmtId="168" xfId="0" applyAlignment="1" applyBorder="1" applyFont="1" applyNumberFormat="1">
      <alignment horizontal="center" readingOrder="0" vertical="center"/>
    </xf>
    <xf borderId="19" fillId="0" fontId="47" numFmtId="168" xfId="0" applyAlignment="1" applyBorder="1" applyFont="1" applyNumberFormat="1">
      <alignment horizontal="center" readingOrder="0" vertical="center"/>
    </xf>
    <xf borderId="23" fillId="0" fontId="53" numFmtId="166" xfId="0" applyAlignment="1" applyBorder="1" applyFont="1" applyNumberFormat="1">
      <alignment horizontal="center" readingOrder="0" vertical="center"/>
    </xf>
    <xf borderId="9" fillId="0" fontId="53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quotePrefix="1" borderId="22" fillId="0" fontId="73" numFmtId="0" xfId="0" applyAlignment="1" applyBorder="1" applyFont="1">
      <alignment horizontal="left" readingOrder="0" shrinkToFit="0" wrapText="0"/>
    </xf>
    <xf borderId="26" fillId="0" fontId="10" numFmtId="168" xfId="0" applyAlignment="1" applyBorder="1" applyFont="1" applyNumberFormat="1">
      <alignment horizontal="center" readingOrder="0" vertical="center"/>
    </xf>
    <xf borderId="22" fillId="0" fontId="10" numFmtId="168" xfId="0" applyAlignment="1" applyBorder="1" applyFont="1" applyNumberFormat="1">
      <alignment horizontal="center" readingOrder="0" vertical="center"/>
    </xf>
    <xf borderId="18" fillId="0" fontId="10" numFmtId="0" xfId="0" applyAlignment="1" applyBorder="1" applyFont="1">
      <alignment horizontal="left" vertical="center"/>
    </xf>
    <xf borderId="16" fillId="0" fontId="10" numFmtId="168" xfId="0" applyAlignment="1" applyBorder="1" applyFont="1" applyNumberFormat="1">
      <alignment horizontal="center" vertical="center"/>
    </xf>
    <xf borderId="26" fillId="8" fontId="65" numFmtId="0" xfId="0" applyAlignment="1" applyBorder="1" applyFont="1">
      <alignment readingOrder="0"/>
    </xf>
    <xf borderId="14" fillId="8" fontId="21" numFmtId="168" xfId="0" applyAlignment="1" applyBorder="1" applyFont="1" applyNumberFormat="1">
      <alignment horizontal="center"/>
    </xf>
    <xf borderId="18" fillId="8" fontId="21" numFmtId="168" xfId="0" applyAlignment="1" applyBorder="1" applyFont="1" applyNumberFormat="1">
      <alignment horizontal="center"/>
    </xf>
    <xf borderId="22" fillId="8" fontId="65" numFmtId="0" xfId="0" applyAlignment="1" applyBorder="1" applyFont="1">
      <alignment readingOrder="0"/>
    </xf>
    <xf borderId="22" fillId="5" fontId="67" numFmtId="0" xfId="0" applyAlignment="1" applyBorder="1" applyFont="1">
      <alignment horizontal="left" readingOrder="0" shrinkToFit="0" vertical="bottom" wrapText="0"/>
    </xf>
    <xf quotePrefix="1" borderId="22" fillId="8" fontId="65" numFmtId="0" xfId="0" applyAlignment="1" applyBorder="1" applyFont="1">
      <alignment horizontal="left" readingOrder="0" shrinkToFit="0" wrapText="0"/>
    </xf>
    <xf borderId="23" fillId="8" fontId="65" numFmtId="0" xfId="0" applyAlignment="1" applyBorder="1" applyFont="1">
      <alignment horizontal="left" readingOrder="0"/>
    </xf>
    <xf borderId="25" fillId="8" fontId="65" numFmtId="0" xfId="0" applyAlignment="1" applyBorder="1" applyFont="1">
      <alignment horizontal="left" readingOrder="0"/>
    </xf>
    <xf borderId="0" fillId="8" fontId="65" numFmtId="0" xfId="0" applyAlignment="1" applyFont="1">
      <alignment horizontal="left" readingOrder="0"/>
    </xf>
    <xf borderId="22" fillId="8" fontId="65" numFmtId="168" xfId="0" applyAlignment="1" applyBorder="1" applyFont="1" applyNumberFormat="1">
      <alignment horizontal="center" readingOrder="0"/>
    </xf>
    <xf borderId="25" fillId="8" fontId="65" numFmtId="0" xfId="0" applyAlignment="1" applyBorder="1" applyFont="1">
      <alignment readingOrder="0"/>
    </xf>
    <xf borderId="25" fillId="8" fontId="65" numFmtId="0" xfId="0" applyAlignment="1" applyBorder="1" applyFont="1">
      <alignment horizontal="center" readingOrder="0"/>
    </xf>
    <xf borderId="23" fillId="8" fontId="65" numFmtId="166" xfId="0" applyAlignment="1" applyBorder="1" applyFont="1" applyNumberFormat="1">
      <alignment horizontal="center" readingOrder="0"/>
    </xf>
    <xf borderId="0" fillId="8" fontId="65" numFmtId="166" xfId="0" applyAlignment="1" applyFont="1" applyNumberFormat="1">
      <alignment horizontal="center" readingOrder="0"/>
    </xf>
    <xf borderId="9" fillId="8" fontId="65" numFmtId="0" xfId="0" applyAlignment="1" applyBorder="1" applyFont="1">
      <alignment readingOrder="0"/>
    </xf>
    <xf borderId="22" fillId="5" fontId="65" numFmtId="0" xfId="0" applyAlignment="1" applyBorder="1" applyFont="1">
      <alignment readingOrder="0"/>
    </xf>
    <xf borderId="24" fillId="0" fontId="65" numFmtId="0" xfId="0" applyAlignment="1" applyBorder="1" applyFont="1">
      <alignment vertical="bottom"/>
    </xf>
    <xf borderId="25" fillId="0" fontId="65" numFmtId="0" xfId="0" applyAlignment="1" applyBorder="1" applyFont="1">
      <alignment readingOrder="0" vertical="bottom"/>
    </xf>
    <xf borderId="25" fillId="0" fontId="65" numFmtId="0" xfId="0" applyAlignment="1" applyBorder="1" applyFont="1">
      <alignment horizontal="center" readingOrder="0" vertical="bottom"/>
    </xf>
    <xf borderId="26" fillId="8" fontId="65" numFmtId="0" xfId="0" applyAlignment="1" applyBorder="1" applyFont="1">
      <alignment readingOrder="0" vertical="bottom"/>
    </xf>
    <xf borderId="15" fillId="0" fontId="21" numFmtId="0" xfId="0" applyAlignment="1" applyBorder="1" applyFont="1">
      <alignment horizontal="center"/>
    </xf>
    <xf borderId="16" fillId="0" fontId="21" numFmtId="168" xfId="0" applyAlignment="1" applyBorder="1" applyFont="1" applyNumberFormat="1">
      <alignment horizontal="center"/>
    </xf>
    <xf borderId="0" fillId="0" fontId="52" numFmtId="168" xfId="0" applyAlignment="1" applyFont="1" applyNumberFormat="1">
      <alignment horizontal="left" readingOrder="0" vertical="center"/>
    </xf>
    <xf borderId="18" fillId="8" fontId="21" numFmtId="0" xfId="0" applyAlignment="1" applyBorder="1" applyFont="1">
      <alignment horizontal="center" readingOrder="0"/>
    </xf>
    <xf borderId="19" fillId="8" fontId="21" numFmtId="0" xfId="0" applyAlignment="1" applyBorder="1" applyFont="1">
      <alignment horizontal="center" readingOrder="0"/>
    </xf>
    <xf borderId="22" fillId="0" fontId="65" numFmtId="0" xfId="0" applyAlignment="1" applyBorder="1" applyFont="1">
      <alignment horizontal="center" readingOrder="0" vertical="bottom"/>
    </xf>
    <xf borderId="0" fillId="0" fontId="65" numFmtId="0" xfId="0" applyAlignment="1" applyFont="1">
      <alignment readingOrder="0"/>
    </xf>
    <xf borderId="0" fillId="8" fontId="65" numFmtId="0" xfId="0" applyAlignment="1" applyFont="1">
      <alignment horizontal="left" readingOrder="0" shrinkToFit="0" wrapText="0"/>
    </xf>
    <xf borderId="24" fillId="0" fontId="65" numFmtId="0" xfId="0" applyAlignment="1" applyBorder="1" applyFont="1">
      <alignment horizontal="left" shrinkToFit="0" wrapText="0"/>
    </xf>
    <xf borderId="0" fillId="0" fontId="65" numFmtId="0" xfId="0" applyAlignment="1" applyFont="1">
      <alignment horizontal="left" readingOrder="0"/>
    </xf>
    <xf borderId="0" fillId="0" fontId="65" numFmtId="166" xfId="0" applyAlignment="1" applyFont="1" applyNumberFormat="1">
      <alignment horizontal="center" readingOrder="0"/>
    </xf>
    <xf borderId="0" fillId="0" fontId="65" numFmtId="0" xfId="0" applyAlignment="1" applyFont="1">
      <alignment vertical="bottom"/>
    </xf>
    <xf borderId="0" fillId="0" fontId="65" numFmtId="0" xfId="0" applyAlignment="1" applyFont="1">
      <alignment readingOrder="0" shrinkToFit="0" wrapText="0"/>
    </xf>
    <xf borderId="0" fillId="7" fontId="65" numFmtId="172" xfId="0" applyAlignment="1" applyFont="1" applyNumberFormat="1">
      <alignment horizontal="center" readingOrder="0"/>
    </xf>
    <xf borderId="9" fillId="0" fontId="65" numFmtId="167" xfId="0" applyAlignment="1" applyBorder="1" applyFont="1" applyNumberFormat="1">
      <alignment horizontal="center" readingOrder="0"/>
    </xf>
    <xf borderId="0" fillId="8" fontId="21" numFmtId="0" xfId="0" applyAlignment="1" applyFont="1">
      <alignment horizontal="center"/>
    </xf>
    <xf borderId="0" fillId="5" fontId="67" numFmtId="0" xfId="0" applyAlignment="1" applyFont="1">
      <alignment horizontal="left" readingOrder="0" shrinkToFit="0" vertical="bottom" wrapText="0"/>
    </xf>
    <xf quotePrefix="1" borderId="0" fillId="5" fontId="65" numFmtId="0" xfId="0" applyAlignment="1" applyFont="1">
      <alignment horizontal="left" readingOrder="0" shrinkToFit="0" wrapText="0"/>
    </xf>
    <xf borderId="9" fillId="0" fontId="65" numFmtId="0" xfId="0" applyAlignment="1" applyBorder="1" applyFont="1">
      <alignment horizontal="left" shrinkToFit="0" wrapText="0"/>
    </xf>
    <xf borderId="0" fillId="5" fontId="10" numFmtId="0" xfId="0" applyAlignment="1" applyFont="1">
      <alignment horizontal="left" readingOrder="0" shrinkToFit="0" vertical="center" wrapText="0"/>
    </xf>
    <xf borderId="0" fillId="5" fontId="65" numFmtId="0" xfId="0" applyAlignment="1" applyFont="1">
      <alignment readingOrder="0" shrinkToFit="0" wrapText="0"/>
    </xf>
    <xf borderId="0" fillId="7" fontId="65" numFmtId="167" xfId="0" applyAlignment="1" applyFont="1" applyNumberFormat="1">
      <alignment horizontal="center" readingOrder="0"/>
    </xf>
    <xf borderId="22" fillId="0" fontId="65" numFmtId="0" xfId="0" applyAlignment="1" applyBorder="1" applyFont="1">
      <alignment horizontal="center" vertical="bottom"/>
    </xf>
    <xf borderId="14" fillId="8" fontId="21" numFmtId="168" xfId="0" applyAlignment="1" applyBorder="1" applyFont="1" applyNumberFormat="1">
      <alignment horizontal="center"/>
    </xf>
    <xf quotePrefix="1" borderId="0" fillId="8" fontId="65" numFmtId="0" xfId="0" applyAlignment="1" applyFont="1">
      <alignment horizontal="left" readingOrder="0" shrinkToFit="0" wrapText="0"/>
    </xf>
    <xf borderId="0" fillId="8" fontId="65" numFmtId="168" xfId="0" applyAlignment="1" applyFont="1" applyNumberFormat="1">
      <alignment horizontal="center" readingOrder="0"/>
    </xf>
    <xf borderId="21" fillId="8" fontId="65" numFmtId="0" xfId="0" applyAlignment="1" applyBorder="1" applyFont="1">
      <alignment horizontal="left" shrinkToFit="0" wrapText="0"/>
    </xf>
    <xf borderId="0" fillId="8" fontId="65" numFmtId="0" xfId="0" applyAlignment="1" applyFont="1">
      <alignment readingOrder="0" shrinkToFit="0" vertical="bottom" wrapText="0"/>
    </xf>
    <xf borderId="0" fillId="8" fontId="65" numFmtId="0" xfId="0" applyAlignment="1" applyFont="1">
      <alignment readingOrder="0" shrinkToFit="0" wrapText="0"/>
    </xf>
    <xf borderId="0" fillId="5" fontId="67" numFmtId="0" xfId="0" applyAlignment="1" applyFont="1">
      <alignment readingOrder="0" shrinkToFit="0" vertical="bottom" wrapText="0"/>
    </xf>
    <xf borderId="0" fillId="5" fontId="65" numFmtId="0" xfId="0" applyAlignment="1" applyFont="1">
      <alignment readingOrder="0"/>
    </xf>
    <xf borderId="0" fillId="8" fontId="67" numFmtId="0" xfId="0" applyAlignment="1" applyFont="1">
      <alignment horizontal="left" readingOrder="0" shrinkToFit="0" vertical="bottom" wrapText="0"/>
    </xf>
    <xf borderId="21" fillId="8" fontId="74" numFmtId="0" xfId="0" applyAlignment="1" applyBorder="1" applyFont="1">
      <alignment horizontal="left" readingOrder="0" shrinkToFit="0" wrapText="0"/>
    </xf>
    <xf borderId="22" fillId="0" fontId="65" numFmtId="0" xfId="0" applyAlignment="1" applyBorder="1" applyFont="1">
      <alignment horizontal="center"/>
    </xf>
    <xf borderId="21" fillId="8" fontId="75" numFmtId="0" xfId="0" applyAlignment="1" applyBorder="1" applyFont="1">
      <alignment readingOrder="0" vertical="bottom"/>
    </xf>
    <xf borderId="14" fillId="0" fontId="47" numFmtId="168" xfId="0" applyAlignment="1" applyBorder="1" applyFont="1" applyNumberFormat="1">
      <alignment horizontal="center" readingOrder="0" vertical="center"/>
    </xf>
    <xf quotePrefix="1" borderId="0" fillId="8" fontId="65" numFmtId="0" xfId="0" applyAlignment="1" applyFont="1">
      <alignment readingOrder="0"/>
    </xf>
    <xf borderId="21" fillId="8" fontId="76" numFmtId="0" xfId="0" applyAlignment="1" applyBorder="1" applyFont="1">
      <alignment horizontal="left" readingOrder="0" shrinkToFit="0" wrapText="0"/>
    </xf>
    <xf quotePrefix="1" borderId="0" fillId="0" fontId="65" numFmtId="0" xfId="0" applyAlignment="1" applyFont="1">
      <alignment readingOrder="0"/>
    </xf>
    <xf borderId="0" fillId="8" fontId="66" numFmtId="168" xfId="0" applyAlignment="1" applyFont="1" applyNumberFormat="1">
      <alignment horizontal="left"/>
    </xf>
    <xf borderId="22" fillId="8" fontId="65" numFmtId="0" xfId="0" applyAlignment="1" applyBorder="1" applyFont="1">
      <alignment horizontal="center" vertical="bottom"/>
    </xf>
    <xf borderId="0" fillId="8" fontId="65" numFmtId="168" xfId="0" applyAlignment="1" applyFont="1" applyNumberFormat="1">
      <alignment horizontal="center"/>
    </xf>
    <xf borderId="0" fillId="5" fontId="65" numFmtId="0" xfId="0" applyAlignment="1" applyFont="1">
      <alignment horizontal="left" readingOrder="0" shrinkToFit="0" wrapText="0"/>
    </xf>
    <xf borderId="0" fillId="8" fontId="65" numFmtId="0" xfId="0" applyAlignment="1" applyFont="1">
      <alignment vertical="bottom"/>
    </xf>
    <xf borderId="0" fillId="8" fontId="67" numFmtId="0" xfId="0" applyAlignment="1" applyFont="1">
      <alignment shrinkToFit="0" vertical="bottom" wrapText="0"/>
    </xf>
    <xf borderId="0" fillId="8" fontId="65" numFmtId="0" xfId="0" applyAlignment="1" applyFont="1">
      <alignment shrinkToFit="0" vertical="bottom" wrapText="0"/>
    </xf>
    <xf borderId="0" fillId="0" fontId="65" numFmtId="167" xfId="0" applyAlignment="1" applyFont="1" applyNumberFormat="1">
      <alignment horizontal="center" readingOrder="0"/>
    </xf>
    <xf borderId="26" fillId="8" fontId="65" numFmtId="0" xfId="0" applyAlignment="1" applyBorder="1" applyFont="1">
      <alignment readingOrder="0"/>
    </xf>
    <xf quotePrefix="1" borderId="0" fillId="8" fontId="10" numFmtId="0" xfId="0" applyAlignment="1" applyFont="1">
      <alignment horizontal="left" readingOrder="0" shrinkToFit="0" wrapText="0"/>
    </xf>
    <xf borderId="0" fillId="0" fontId="10" numFmtId="0" xfId="0" applyAlignment="1" applyFont="1">
      <alignment horizontal="left" readingOrder="0" shrinkToFit="0" vertical="center" wrapText="0"/>
    </xf>
    <xf borderId="0" fillId="5" fontId="67" numFmtId="0" xfId="0" applyAlignment="1" applyFont="1">
      <alignment readingOrder="0" shrinkToFit="0" vertical="bottom" wrapText="0"/>
    </xf>
    <xf borderId="18" fillId="0" fontId="21" numFmtId="0" xfId="0" applyAlignment="1" applyBorder="1" applyFont="1">
      <alignment horizontal="center"/>
    </xf>
    <xf borderId="24" fillId="5" fontId="65" numFmtId="0" xfId="0" applyAlignment="1" applyBorder="1" applyFont="1">
      <alignment horizontal="left" shrinkToFit="0" wrapText="0"/>
    </xf>
    <xf borderId="16" fillId="0" fontId="10" numFmtId="0" xfId="0" applyAlignment="1" applyBorder="1" applyFont="1">
      <alignment horizontal="center" vertical="center"/>
    </xf>
    <xf borderId="0" fillId="8" fontId="65" numFmtId="0" xfId="0" applyAlignment="1" applyFont="1">
      <alignment horizontal="left" shrinkToFit="0" wrapText="0"/>
    </xf>
    <xf borderId="0" fillId="8" fontId="66" numFmtId="168" xfId="0" applyAlignment="1" applyFont="1" applyNumberFormat="1">
      <alignment horizontal="left" readingOrder="0" vertical="bottom"/>
    </xf>
    <xf borderId="16" fillId="8" fontId="65" numFmtId="0" xfId="0" applyBorder="1" applyFont="1"/>
    <xf borderId="0" fillId="7" fontId="65" numFmtId="168" xfId="0" applyAlignment="1" applyFont="1" applyNumberFormat="1">
      <alignment horizontal="center" readingOrder="0" vertical="bottom"/>
    </xf>
    <xf borderId="9" fillId="8" fontId="65" numFmtId="168" xfId="0" applyAlignment="1" applyBorder="1" applyFont="1" applyNumberFormat="1">
      <alignment horizontal="center" readingOrder="0" vertical="bottom"/>
    </xf>
    <xf borderId="19" fillId="0" fontId="21" numFmtId="168" xfId="0" applyAlignment="1" applyBorder="1" applyFont="1" applyNumberFormat="1">
      <alignment horizontal="center"/>
    </xf>
    <xf borderId="9" fillId="8" fontId="65" numFmtId="167" xfId="0" applyAlignment="1" applyBorder="1" applyFont="1" applyNumberFormat="1">
      <alignment horizontal="center" readingOrder="0"/>
    </xf>
    <xf borderId="0" fillId="0" fontId="10" numFmtId="0" xfId="0" applyAlignment="1" applyFont="1">
      <alignment horizontal="left" shrinkToFit="0" vertical="center" wrapText="0"/>
    </xf>
    <xf borderId="0" fillId="8" fontId="65" numFmtId="168" xfId="0" applyFont="1" applyNumberFormat="1"/>
    <xf borderId="0" fillId="0" fontId="53" numFmtId="0" xfId="0" applyAlignment="1" applyFont="1">
      <alignment horizontal="left" vertical="center"/>
    </xf>
    <xf borderId="0" fillId="8" fontId="53" numFmtId="0" xfId="0" applyAlignment="1" applyFont="1">
      <alignment horizontal="left" shrinkToFit="0" vertical="center" wrapText="0"/>
    </xf>
    <xf quotePrefix="1" borderId="0" fillId="7" fontId="47" numFmtId="0" xfId="0" applyAlignment="1" applyFont="1">
      <alignment horizontal="center" readingOrder="0" vertical="center"/>
    </xf>
    <xf quotePrefix="1" borderId="9" fillId="0" fontId="47" numFmtId="0" xfId="0" applyAlignment="1" applyBorder="1" applyFont="1">
      <alignment horizontal="center" readingOrder="0" vertical="center"/>
    </xf>
    <xf borderId="0" fillId="0" fontId="47" numFmtId="166" xfId="0" applyAlignment="1" applyFont="1" applyNumberFormat="1">
      <alignment horizontal="center" readingOrder="0" vertical="center"/>
    </xf>
    <xf borderId="0" fillId="0" fontId="53" numFmtId="168" xfId="0" applyAlignment="1" applyFont="1" applyNumberFormat="1">
      <alignment horizontal="center" vertical="center"/>
    </xf>
    <xf borderId="9" fillId="8" fontId="65" numFmtId="0" xfId="0" applyAlignment="1" applyBorder="1" applyFont="1">
      <alignment horizontal="left" readingOrder="0" shrinkToFit="0" wrapText="0"/>
    </xf>
    <xf borderId="0" fillId="2" fontId="77" numFmtId="0" xfId="0" applyAlignment="1" applyFont="1">
      <alignment horizontal="center" readingOrder="0" vertical="center"/>
    </xf>
    <xf borderId="0" fillId="2" fontId="78" numFmtId="0" xfId="0" applyAlignment="1" applyFont="1">
      <alignment horizontal="center" readingOrder="0" vertical="center"/>
    </xf>
    <xf borderId="0" fillId="0" fontId="52" numFmtId="0" xfId="0" applyAlignment="1" applyFont="1">
      <alignment horizontal="center" readingOrder="0" vertical="center"/>
    </xf>
    <xf borderId="0" fillId="0" fontId="10" numFmtId="0" xfId="0" applyFont="1"/>
    <xf borderId="0" fillId="0" fontId="10" numFmtId="166" xfId="0" applyFont="1" applyNumberFormat="1"/>
    <xf borderId="0" fillId="0" fontId="10" numFmtId="10" xfId="0" applyFont="1" applyNumberFormat="1"/>
    <xf borderId="0" fillId="0" fontId="10" numFmtId="166" xfId="0" applyAlignment="1" applyFont="1" applyNumberFormat="1">
      <alignment readingOrder="0"/>
    </xf>
    <xf borderId="0" fillId="0" fontId="79" numFmtId="0" xfId="0" applyAlignment="1" applyFont="1">
      <alignment horizontal="center" vertical="center"/>
    </xf>
    <xf borderId="0" fillId="0" fontId="10" numFmtId="168" xfId="0" applyFont="1" applyNumberFormat="1"/>
    <xf borderId="0" fillId="6" fontId="80" numFmtId="0" xfId="0" applyAlignment="1" applyFont="1">
      <alignment horizontal="center" readingOrder="0" vertical="center"/>
    </xf>
    <xf borderId="0" fillId="0" fontId="10" numFmtId="167" xfId="0" applyFont="1" applyNumberFormat="1"/>
    <xf borderId="0" fillId="0" fontId="81" numFmtId="0" xfId="0" applyAlignment="1" applyFont="1">
      <alignment horizontal="center" readingOrder="0" vertical="center"/>
    </xf>
    <xf borderId="0" fillId="0" fontId="79" numFmtId="0" xfId="0" applyAlignment="1" applyFont="1">
      <alignment horizontal="center" readingOrder="0" vertical="center"/>
    </xf>
    <xf quotePrefix="1" borderId="0" fillId="0" fontId="81" numFmtId="0" xfId="0" applyAlignment="1" applyFont="1">
      <alignment horizontal="center" readingOrder="0" vertical="center"/>
    </xf>
    <xf borderId="0" fillId="0" fontId="10" numFmtId="173" xfId="0" applyFont="1" applyNumberFormat="1"/>
    <xf borderId="0" fillId="0" fontId="52" numFmtId="0" xfId="0" applyAlignment="1" applyFont="1">
      <alignment readingOrder="0"/>
    </xf>
    <xf borderId="0" fillId="0" fontId="79" numFmtId="0" xfId="0" applyAlignment="1" applyFont="1">
      <alignment horizontal="center" vertical="center"/>
    </xf>
    <xf borderId="0" fillId="0" fontId="10" numFmtId="1" xfId="0" applyFont="1" applyNumberFormat="1"/>
    <xf borderId="0" fillId="0" fontId="10" numFmtId="0" xfId="0" applyAlignment="1" applyFont="1">
      <alignment shrinkToFit="0" wrapText="0"/>
    </xf>
    <xf borderId="0" fillId="0" fontId="10" numFmtId="170" xfId="0" applyFont="1" applyNumberFormat="1"/>
    <xf borderId="0" fillId="0" fontId="10" numFmtId="172" xfId="0" applyFont="1" applyNumberFormat="1"/>
    <xf borderId="0" fillId="0" fontId="10" numFmtId="9" xfId="0" applyAlignment="1" applyFont="1" applyNumberFormat="1">
      <alignment horizontal="center" readingOrder="0" vertical="center"/>
    </xf>
    <xf borderId="0" fillId="0" fontId="10" numFmtId="10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0" fontId="82" numFmtId="166" xfId="0" applyFont="1" applyNumberFormat="1"/>
    <xf borderId="0" fillId="0" fontId="82" numFmtId="0" xfId="0" applyFont="1"/>
    <xf borderId="0" fillId="0" fontId="10" numFmtId="169" xfId="0" applyFont="1" applyNumberFormat="1"/>
    <xf borderId="0" fillId="0" fontId="10" numFmtId="171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8FCEB"/>
      </font>
      <fill>
        <patternFill patternType="solid">
          <fgColor rgb="FF333C4A"/>
          <bgColor rgb="FF333C4A"/>
        </patternFill>
      </fill>
      <border/>
    </dxf>
    <dxf>
      <font>
        <b/>
        <color rgb="FFF8FCEB"/>
      </font>
      <fill>
        <patternFill patternType="solid">
          <fgColor rgb="FF8996A3"/>
          <bgColor rgb="FF8996A3"/>
        </patternFill>
      </fill>
      <border/>
    </dxf>
    <dxf>
      <font>
        <b/>
        <color rgb="FF000000"/>
      </font>
      <fill>
        <patternFill patternType="solid">
          <fgColor rgb="FFEBEFF1"/>
          <bgColor rgb="FFEBEFF1"/>
        </patternFill>
      </fill>
      <border/>
    </dxf>
  </dxfs>
  <tableStyles count="10">
    <tableStyle count="3" pivot="0" name="Dashboard-style">
      <tableStyleElement dxfId="1" type="headerRow"/>
      <tableStyleElement dxfId="2" type="firstRowStripe"/>
      <tableStyleElement dxfId="3" type="secondRowStripe"/>
    </tableStyle>
    <tableStyle count="2" pivot="0" name="Workflow-style">
      <tableStyleElement dxfId="3" type="firstRowStripe"/>
      <tableStyleElement dxfId="2" type="secondRowStripe"/>
    </tableStyle>
    <tableStyle count="2" pivot="0" name="Workflow-style 2">
      <tableStyleElement dxfId="3" type="firstRowStripe"/>
      <tableStyleElement dxfId="2" type="secondRowStripe"/>
    </tableStyle>
    <tableStyle count="2" pivot="0" name="Workflow-style 3">
      <tableStyleElement dxfId="3" type="firstRowStripe"/>
      <tableStyleElement dxfId="2" type="secondRowStripe"/>
    </tableStyle>
    <tableStyle count="2" pivot="0" name="Workflow-style 4">
      <tableStyleElement dxfId="3" type="firstRowStripe"/>
      <tableStyleElement dxfId="2" type="secondRowStripe"/>
    </tableStyle>
    <tableStyle count="2" pivot="0" name="Workflow-style 5">
      <tableStyleElement dxfId="3" type="firstRowStripe"/>
      <tableStyleElement dxfId="2" type="secondRowStripe"/>
    </tableStyle>
    <tableStyle count="2" pivot="0" name="Workflow-style 6">
      <tableStyleElement dxfId="3" type="firstRowStripe"/>
      <tableStyleElement dxfId="2" type="secondRowStripe"/>
    </tableStyle>
    <tableStyle count="2" pivot="0" name="Workflow-style 7">
      <tableStyleElement dxfId="3" type="firstRowStripe"/>
      <tableStyleElement dxfId="2" type="secondRowStripe"/>
    </tableStyle>
    <tableStyle count="2" pivot="0" name="Workflow-style 8">
      <tableStyleElement dxfId="3" type="firstRowStripe"/>
      <tableStyleElement dxfId="2" type="secondRowStripe"/>
    </tableStyle>
    <tableStyle count="2" pivot="0" name="Helper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Helper!$K$31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</c:dPt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Helper!$J$32:$J$41</c:f>
            </c:strRef>
          </c:cat>
          <c:val>
            <c:numRef>
              <c:f>Helper!$K$32:$K$41</c:f>
              <c:numCache/>
            </c:numRef>
          </c:val>
        </c:ser>
        <c:axId val="1310822225"/>
        <c:axId val="1409434089"/>
      </c:barChart>
      <c:catAx>
        <c:axId val="13108222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Roboto"/>
              </a:defRPr>
            </a:pPr>
          </a:p>
        </c:txPr>
        <c:crossAx val="1409434089"/>
      </c:catAx>
      <c:valAx>
        <c:axId val="1409434089"/>
        <c:scaling>
          <c:orientation val="minMax"/>
          <c:max val="50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5975"/>
                </a:solidFill>
                <a:latin typeface="Roboto"/>
              </a:defRPr>
            </a:pPr>
          </a:p>
        </c:txPr>
        <c:crossAx val="1310822225"/>
        <c:crosses val="max"/>
      </c:valAx>
    </c:plotArea>
    <c:plotVisOnly val="1"/>
  </c:chart>
  <c:spPr>
    <a:solidFill>
      <a:srgbClr val="495664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8FCEB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Helper!$M$3:$M$10</c:f>
            </c:strRef>
          </c:cat>
          <c:val>
            <c:numRef>
              <c:f>Helper!$N$3:$N$10</c:f>
              <c:numCache/>
            </c:numRef>
          </c:val>
        </c:ser>
        <c:axId val="1173004128"/>
        <c:axId val="1410945871"/>
      </c:barChart>
      <c:catAx>
        <c:axId val="117300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F8FCEB"/>
                </a:solidFill>
                <a:latin typeface="Roboto"/>
              </a:defRPr>
            </a:pPr>
          </a:p>
        </c:txPr>
        <c:crossAx val="1410945871"/>
      </c:catAx>
      <c:valAx>
        <c:axId val="141094587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F8FCEB"/>
                </a:solidFill>
                <a:latin typeface="+mn-lt"/>
              </a:defRPr>
            </a:pPr>
          </a:p>
        </c:txPr>
        <c:crossAx val="1173004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6A83"/>
              </a:solidFill>
              <a:latin typeface="+mn-lt"/>
            </a:defRPr>
          </a:pPr>
        </a:p>
      </c:txPr>
    </c:legend>
    <c:plotVisOnly val="1"/>
  </c:chart>
  <c:spPr>
    <a:solidFill>
      <a:srgbClr val="495664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8FCEB"/>
                </a:solidFill>
                <a:latin typeface="Roboto"/>
              </a:defRPr>
            </a:pPr>
            <a:r>
              <a:rPr b="1">
                <a:solidFill>
                  <a:srgbClr val="F8FCEB"/>
                </a:solidFill>
                <a:latin typeface="Roboto"/>
              </a:rPr>
              <a:t>Project Officer</a:t>
            </a:r>
          </a:p>
        </c:rich>
      </c:tx>
      <c:overlay val="0"/>
    </c:title>
    <c:plotArea>
      <c:layout>
        <c:manualLayout>
          <c:xMode val="edge"/>
          <c:yMode val="edge"/>
          <c:x val="0.19301277998554917"/>
          <c:y val="0.12033898305084746"/>
          <c:w val="0.7569872200144508"/>
          <c:h val="0.8249152542372882"/>
        </c:manualLayout>
      </c:layout>
      <c:barChart>
        <c:barDir val="col"/>
        <c:ser>
          <c:idx val="0"/>
          <c:order val="0"/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Helper!$W$3:$W$14</c:f>
            </c:strRef>
          </c:cat>
          <c:val>
            <c:numRef>
              <c:f>Helper!$X$3:$X$14</c:f>
              <c:numCache/>
            </c:numRef>
          </c:val>
        </c:ser>
        <c:axId val="323037998"/>
        <c:axId val="1272009599"/>
      </c:barChart>
      <c:catAx>
        <c:axId val="323037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8FCEB"/>
                </a:solidFill>
                <a:latin typeface="Roboto"/>
              </a:defRPr>
            </a:pPr>
          </a:p>
        </c:txPr>
        <c:crossAx val="1272009599"/>
      </c:catAx>
      <c:valAx>
        <c:axId val="127200959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F8FCEB"/>
                </a:solidFill>
                <a:latin typeface="+mn-lt"/>
              </a:defRPr>
            </a:pPr>
          </a:p>
        </c:txPr>
        <c:crossAx val="3230379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6A83"/>
              </a:solidFill>
              <a:latin typeface="+mn-lt"/>
            </a:defRPr>
          </a:pPr>
        </a:p>
      </c:txPr>
    </c:legend>
    <c:plotVisOnly val="1"/>
  </c:chart>
  <c:spPr>
    <a:solidFill>
      <a:srgbClr val="495664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8FCEB"/>
                </a:solidFill>
                <a:latin typeface="Roboto"/>
              </a:defRPr>
            </a:pPr>
            <a:r>
              <a:rPr b="1">
                <a:solidFill>
                  <a:srgbClr val="F8FCEB"/>
                </a:solidFill>
                <a:latin typeface="Roboto"/>
              </a:rPr>
              <a:t>No. of Tasks per Employee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6D9EEB">
                  <a:alpha val="100000"/>
                </a:srgbClr>
              </a:solidFill>
              <a:prstDash val="lgDashDot"/>
            </a:ln>
          </c:spPr>
          <c:marker>
            <c:symbol val="circle"/>
            <c:size val="10"/>
            <c:spPr>
              <a:solidFill>
                <a:srgbClr val="6D9EEB">
                  <a:alpha val="100000"/>
                </a:srgbClr>
              </a:solidFill>
              <a:ln cmpd="sng">
                <a:solidFill>
                  <a:srgbClr val="6D9EEB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Helper!$M$14:$M$24</c:f>
            </c:strRef>
          </c:cat>
          <c:val>
            <c:numRef>
              <c:f>Helper!$N$14:$N$24</c:f>
              <c:numCache/>
            </c:numRef>
          </c:val>
          <c:smooth val="0"/>
        </c:ser>
        <c:axId val="1337830241"/>
        <c:axId val="861968991"/>
      </c:lineChart>
      <c:catAx>
        <c:axId val="1337830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F8FCEB"/>
                </a:solidFill>
                <a:latin typeface="Roboto"/>
              </a:defRPr>
            </a:pPr>
          </a:p>
        </c:txPr>
        <c:crossAx val="861968991"/>
      </c:catAx>
      <c:valAx>
        <c:axId val="861968991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495664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8FCEB"/>
                </a:solidFill>
                <a:latin typeface="Roboto"/>
              </a:defRPr>
            </a:pPr>
          </a:p>
        </c:txPr>
        <c:crossAx val="1337830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6A83"/>
              </a:solidFill>
              <a:latin typeface="+mn-lt"/>
            </a:defRPr>
          </a:pPr>
        </a:p>
      </c:txPr>
    </c:legend>
    <c:plotVisOnly val="1"/>
  </c:chart>
  <c:spPr>
    <a:solidFill>
      <a:srgbClr val="495664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8FCEB"/>
                </a:solidFill>
                <a:latin typeface="+mn-lt"/>
              </a:defRPr>
            </a:pPr>
            <a:r>
              <a:rPr b="1">
                <a:solidFill>
                  <a:srgbClr val="F8FCEB"/>
                </a:solidFill>
                <a:latin typeface="+mn-lt"/>
              </a:rPr>
              <a:t>Top 5 Project that are Near Due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Helper!$P$3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Pt>
            <c:idx val="3"/>
          </c:dPt>
          <c:dPt>
            <c:idx val="4"/>
          </c:dPt>
          <c:dLbls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Helper!$R$4:$R$7</c:f>
            </c:strRef>
          </c:cat>
          <c:val>
            <c:numRef>
              <c:f>Helper!$P$4:$P$7</c:f>
              <c:numCache/>
            </c:numRef>
          </c:val>
        </c:ser>
        <c:ser>
          <c:idx val="1"/>
          <c:order val="1"/>
          <c:tx>
            <c:strRef>
              <c:f>Helper!$R$3</c:f>
            </c:strRef>
          </c:tx>
          <c:cat>
            <c:strRef>
              <c:f>Helper!$R$4:$R$7</c:f>
            </c:strRef>
          </c:cat>
          <c:val>
            <c:numRef>
              <c:f>Helper!$R$4:$R$7</c:f>
              <c:numCache/>
            </c:numRef>
          </c:val>
        </c:ser>
        <c:axId val="819622509"/>
        <c:axId val="847422609"/>
      </c:barChart>
      <c:catAx>
        <c:axId val="8196225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8FCEB"/>
                </a:solidFill>
                <a:latin typeface="+mn-lt"/>
              </a:defRPr>
            </a:pPr>
          </a:p>
        </c:txPr>
        <c:crossAx val="847422609"/>
      </c:catAx>
      <c:valAx>
        <c:axId val="8474226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5975"/>
                </a:solidFill>
                <a:latin typeface="+mn-lt"/>
              </a:defRPr>
            </a:pPr>
          </a:p>
        </c:txPr>
        <c:crossAx val="8196225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6A83"/>
              </a:solidFill>
              <a:latin typeface="+mn-lt"/>
            </a:defRPr>
          </a:pPr>
        </a:p>
      </c:txPr>
    </c:legend>
    <c:plotVisOnly val="1"/>
  </c:chart>
  <c:spPr>
    <a:solidFill>
      <a:srgbClr val="495664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8FCEB"/>
                </a:solidFill>
                <a:latin typeface="Roboto"/>
              </a:defRPr>
            </a:pPr>
            <a:r>
              <a:rPr b="1">
                <a:solidFill>
                  <a:srgbClr val="F8FCEB"/>
                </a:solidFill>
                <a:latin typeface="Roboto"/>
              </a:rPr>
              <a:t>Event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Helper!$K$53</c:f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</c:dPt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Helper!$J$54:$J$62</c:f>
            </c:strRef>
          </c:cat>
          <c:val>
            <c:numRef>
              <c:f>Helper!$K$54:$K$62</c:f>
              <c:numCache/>
            </c:numRef>
          </c:val>
        </c:ser>
        <c:axId val="565310149"/>
        <c:axId val="132380174"/>
      </c:barChart>
      <c:catAx>
        <c:axId val="5653101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Roboto"/>
              </a:defRPr>
            </a:pPr>
          </a:p>
        </c:txPr>
        <c:crossAx val="132380174"/>
      </c:catAx>
      <c:valAx>
        <c:axId val="132380174"/>
        <c:scaling>
          <c:orientation val="minMax"/>
          <c:max val="50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5975"/>
                </a:solidFill>
                <a:latin typeface="Roboto"/>
              </a:defRPr>
            </a:pPr>
          </a:p>
        </c:txPr>
        <c:crossAx val="565310149"/>
        <c:crosses val="max"/>
      </c:valAx>
    </c:plotArea>
    <c:plotVisOnly val="1"/>
  </c:chart>
  <c:spPr>
    <a:solidFill>
      <a:srgbClr val="495664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8FCEB"/>
                </a:solidFill>
                <a:latin typeface="Roboto"/>
              </a:defRPr>
            </a:pPr>
            <a:r>
              <a:rPr b="1">
                <a:solidFill>
                  <a:srgbClr val="F8FCEB"/>
                </a:solidFill>
                <a:latin typeface="Roboto"/>
              </a:rPr>
              <a:t>Type of Program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8FCEB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Helper!$M$49:$M$62</c:f>
            </c:strRef>
          </c:cat>
          <c:val>
            <c:numRef>
              <c:f>Helper!$N$49:$N$62</c:f>
              <c:numCache/>
            </c:numRef>
          </c:val>
        </c:ser>
        <c:axId val="1809100854"/>
        <c:axId val="487281607"/>
      </c:barChart>
      <c:catAx>
        <c:axId val="18091008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Roboto"/>
                  </a:defRPr>
                </a:pPr>
                <a:r>
                  <a:rPr b="0">
                    <a:solidFill>
                      <a:srgbClr val="005975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F8FCEB"/>
                </a:solidFill>
                <a:latin typeface="Roboto"/>
              </a:defRPr>
            </a:pPr>
          </a:p>
        </c:txPr>
        <c:crossAx val="487281607"/>
      </c:catAx>
      <c:valAx>
        <c:axId val="487281607"/>
        <c:scaling>
          <c:orientation val="minMax"/>
          <c:max val="5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Roboto"/>
                  </a:defRPr>
                </a:pPr>
                <a:r>
                  <a:rPr b="0">
                    <a:solidFill>
                      <a:srgbClr val="005975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8FCEB"/>
                </a:solidFill>
                <a:latin typeface="Roboto"/>
              </a:defRPr>
            </a:pPr>
          </a:p>
        </c:txPr>
        <c:crossAx val="1809100854"/>
        <c:crosses val="max"/>
      </c:valAx>
    </c:plotArea>
    <c:plotVisOnly val="1"/>
  </c:chart>
  <c:spPr>
    <a:solidFill>
      <a:srgbClr val="495664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8FCEB"/>
                </a:solidFill>
                <a:latin typeface="+mn-lt"/>
              </a:defRPr>
            </a:pPr>
            <a:r>
              <a:rPr b="1">
                <a:solidFill>
                  <a:srgbClr val="F8FCEB"/>
                </a:solidFill>
                <a:latin typeface="+mn-lt"/>
              </a:rPr>
              <a:t>Target Revenue 2025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0078B8"/>
              </a:solidFill>
            </c:spPr>
          </c:dPt>
          <c:dPt>
            <c:idx val="1"/>
            <c:spPr>
              <a:solidFill>
                <a:srgbClr val="0091DE"/>
              </a:solidFill>
            </c:spPr>
          </c:dPt>
          <c:dPt>
            <c:idx val="2"/>
            <c:spPr>
              <a:solidFill>
                <a:srgbClr val="00A3FA"/>
              </a:solidFill>
            </c:spPr>
          </c:dPt>
          <c:dPt>
            <c:idx val="3"/>
            <c:spPr>
              <a:solidFill>
                <a:srgbClr val="42BDFF"/>
              </a:solidFill>
            </c:spPr>
          </c:dPt>
          <c:dPt>
            <c:idx val="4"/>
            <c:spPr>
              <a:solidFill>
                <a:srgbClr val="6ECCFF"/>
              </a:solidFill>
            </c:spPr>
          </c:dPt>
          <c:dPt>
            <c:idx val="5"/>
            <c:spPr>
              <a:solidFill>
                <a:srgbClr val="8FE1FF"/>
              </a:solidFill>
            </c:spPr>
          </c:dPt>
          <c:dPt>
            <c:idx val="6"/>
            <c:spPr>
              <a:solidFill>
                <a:srgbClr val="4DA1CD"/>
              </a:solidFill>
            </c:spPr>
          </c:dPt>
          <c:dPt>
            <c:idx val="7"/>
            <c:spPr>
              <a:solidFill>
                <a:srgbClr val="4DB2E8"/>
              </a:solidFill>
            </c:spPr>
          </c:dPt>
          <c:dPt>
            <c:idx val="8"/>
            <c:spPr>
              <a:solidFill>
                <a:srgbClr val="4DBFF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Helper!$W$19:$W$27</c:f>
            </c:strRef>
          </c:cat>
          <c:val>
            <c:numRef>
              <c:f>Helper!$X$19:$X$27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8FCEB"/>
              </a:solidFill>
              <a:latin typeface="+mn-lt"/>
            </a:defRPr>
          </a:pPr>
        </a:p>
      </c:txPr>
    </c:legend>
    <c:plotVisOnly val="1"/>
  </c:chart>
  <c:spPr>
    <a:solidFill>
      <a:srgbClr val="495664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8FCEB"/>
                </a:solidFill>
                <a:latin typeface="+mn-lt"/>
              </a:defRPr>
            </a:pPr>
            <a:r>
              <a:rPr b="1">
                <a:solidFill>
                  <a:srgbClr val="F8FCEB"/>
                </a:solidFill>
                <a:latin typeface="+mn-lt"/>
              </a:rPr>
              <a:t>Revenue Confirm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Helper!$K$80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8FCEB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Helper!$J$81:$J$90</c:f>
            </c:strRef>
          </c:cat>
          <c:val>
            <c:numRef>
              <c:f>Helper!$K$81:$K$90</c:f>
              <c:numCache/>
            </c:numRef>
          </c:val>
        </c:ser>
        <c:axId val="718250771"/>
        <c:axId val="1653273669"/>
      </c:barChart>
      <c:catAx>
        <c:axId val="718250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8FCEB"/>
                </a:solidFill>
                <a:latin typeface="+mn-lt"/>
              </a:defRPr>
            </a:pPr>
          </a:p>
        </c:txPr>
        <c:crossAx val="1653273669"/>
      </c:catAx>
      <c:valAx>
        <c:axId val="1653273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8FCEB"/>
                </a:solidFill>
                <a:latin typeface="+mn-lt"/>
              </a:defRPr>
            </a:pPr>
          </a:p>
        </c:txPr>
        <c:crossAx val="718250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8FCEB"/>
              </a:solidFill>
              <a:latin typeface="+mn-lt"/>
            </a:defRPr>
          </a:pPr>
        </a:p>
      </c:txPr>
    </c:legend>
    <c:plotVisOnly val="1"/>
  </c:chart>
  <c:spPr>
    <a:solidFill>
      <a:srgbClr val="495664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A5B4"/>
                </a:solidFill>
                <a:latin typeface="+mn-lt"/>
              </a:defRPr>
            </a:pPr>
            <a:r>
              <a:rPr b="0">
                <a:solidFill>
                  <a:srgbClr val="75A5B4"/>
                </a:solidFill>
                <a:latin typeface="+mn-lt"/>
              </a:rPr>
              <a:t>Program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Helper!$K$94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</c:dPt>
          <c:dPt>
            <c:idx val="7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</c:dPt>
          <c:dPt>
            <c:idx val="2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34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Helper!$J$95:$J$131</c:f>
            </c:strRef>
          </c:cat>
          <c:val>
            <c:numRef>
              <c:f>Helper!$K$95:$K$131</c:f>
              <c:numCache/>
            </c:numRef>
          </c:val>
        </c:ser>
        <c:ser>
          <c:idx val="1"/>
          <c:order val="1"/>
          <c:tx>
            <c:strRef>
              <c:f>Helper!$L$94</c:f>
            </c:strRef>
          </c:tx>
          <c:cat>
            <c:strRef>
              <c:f>Helper!$J$95:$J$131</c:f>
            </c:strRef>
          </c:cat>
          <c:val>
            <c:numRef>
              <c:f>Helper!$L$95:$L$131</c:f>
              <c:numCache/>
            </c:numRef>
          </c:val>
        </c:ser>
        <c:axId val="1194710417"/>
        <c:axId val="1540446575"/>
      </c:barChart>
      <c:catAx>
        <c:axId val="1194710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5975"/>
                </a:solidFill>
                <a:latin typeface="+mn-lt"/>
              </a:defRPr>
            </a:pPr>
          </a:p>
        </c:txPr>
        <c:crossAx val="1540446575"/>
      </c:catAx>
      <c:valAx>
        <c:axId val="1540446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5975"/>
                </a:solidFill>
                <a:latin typeface="+mn-lt"/>
              </a:defRPr>
            </a:pPr>
          </a:p>
        </c:txPr>
        <c:crossAx val="1194710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6A83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image" Target="../media/image1.png"/><Relationship Id="rId10" Type="http://schemas.openxmlformats.org/officeDocument/2006/relationships/chart" Target="../charts/chart10.xml"/><Relationship Id="rId12" Type="http://schemas.openxmlformats.org/officeDocument/2006/relationships/image" Target="../media/image2.png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26</xdr:row>
      <xdr:rowOff>19050</xdr:rowOff>
    </xdr:from>
    <xdr:ext cx="10077450" cy="4524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228600</xdr:colOff>
      <xdr:row>56</xdr:row>
      <xdr:rowOff>19050</xdr:rowOff>
    </xdr:from>
    <xdr:ext cx="10820400" cy="5686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228600</xdr:colOff>
      <xdr:row>86</xdr:row>
      <xdr:rowOff>76200</xdr:rowOff>
    </xdr:from>
    <xdr:ext cx="16544925" cy="6457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1038225</xdr:colOff>
      <xdr:row>87</xdr:row>
      <xdr:rowOff>9525</xdr:rowOff>
    </xdr:from>
    <xdr:ext cx="14287500" cy="6457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1000125</xdr:colOff>
      <xdr:row>37</xdr:row>
      <xdr:rowOff>95250</xdr:rowOff>
    </xdr:from>
    <xdr:ext cx="8543925" cy="3609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21</xdr:col>
      <xdr:colOff>133350</xdr:colOff>
      <xdr:row>56</xdr:row>
      <xdr:rowOff>123825</xdr:rowOff>
    </xdr:from>
    <xdr:ext cx="8743950" cy="5819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18</xdr:col>
      <xdr:colOff>419100</xdr:colOff>
      <xdr:row>26</xdr:row>
      <xdr:rowOff>123825</xdr:rowOff>
    </xdr:from>
    <xdr:ext cx="10934700" cy="5819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209550</xdr:colOff>
      <xdr:row>121</xdr:row>
      <xdr:rowOff>19050</xdr:rowOff>
    </xdr:from>
    <xdr:ext cx="9753600" cy="71151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228600</xdr:colOff>
      <xdr:row>121</xdr:row>
      <xdr:rowOff>19050</xdr:rowOff>
    </xdr:from>
    <xdr:ext cx="7972425" cy="49244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15</xdr:col>
      <xdr:colOff>866775</xdr:colOff>
      <xdr:row>120</xdr:row>
      <xdr:rowOff>152400</xdr:rowOff>
    </xdr:from>
    <xdr:ext cx="18268950" cy="112966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13</xdr:col>
      <xdr:colOff>0</xdr:colOff>
      <xdr:row>62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ne Spirit Asia" id="{761cc281-7698-4254-9d4d-35dec46e63c1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A3:AB12" sheet="Helper"/>
  </cacheSource>
  <cacheFields>
    <cacheField name="Target 2025" numFmtId="0">
      <sharedItems>
        <s v="Mohammad Ramli"/>
        <s v="Jaka Iklas Pratama"/>
        <s v="Ridho Abdullah"/>
        <s v="Syarah Syukrilah"/>
        <s v="Light Spirit"/>
        <s v="Arin Fitria"/>
        <s v="Taufan Hidayat"/>
        <s v="Putera Katresna"/>
        <s v="M.Syahrul Ramadhan"/>
      </sharedItems>
    </cacheField>
    <cacheField name="SUM of Target" numFmtId="166">
      <sharedItems containsSemiMixedTypes="0" containsString="0" containsNumber="1" containsInteger="1">
        <n v="3.0E9"/>
        <n v="2.0E9"/>
        <n v="1.0E9"/>
        <n v="8.0E8"/>
        <n v="5.0E8"/>
        <n v="2.0E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elper" cacheId="0" dataCaption="" compact="0" compactData="0">
  <location ref="W18:X28" firstHeaderRow="0" firstDataRow="1" firstDataCol="0"/>
  <pivotFields>
    <pivotField name="Target 2025" axis="axisRow" compact="0" outline="0" multipleItemSelectionAllowed="1" showAll="0" sortType="ascending">
      <items>
        <item x="5"/>
        <item x="1"/>
        <item x="4"/>
        <item x="8"/>
        <item x="0"/>
        <item x="7"/>
        <item x="2"/>
        <item x="3"/>
        <item x="6"/>
        <item t="default"/>
      </items>
    </pivotField>
    <pivotField name="SUM of Target" dataField="1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dataFields>
    <dataField name="SUM of SUM of Target" fld="1" baseField="0"/>
  </dataFields>
</pivotTableDefinition>
</file>

<file path=xl/tables/table1.xml><?xml version="1.0" encoding="utf-8"?>
<table xmlns="http://schemas.openxmlformats.org/spreadsheetml/2006/main" headerRowCount="0" ref="M44" displayName="Table_1" name="Table_1" id="1">
  <tableColumns count="1">
    <tableColumn name="Column1" id="1"/>
  </tableColumns>
  <tableStyleInfo name="Dash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K261:L261" displayName="Table_2" name="Table_2" id="2">
  <tableColumns count="2">
    <tableColumn name="Column1" id="1"/>
    <tableColumn name="Column2" id="2"/>
  </tableColumns>
  <tableStyleInfo name="Workflow-style" showColumnStripes="0" showFirstColumn="1" showLastColumn="1" showRowStripes="1"/>
</table>
</file>

<file path=xl/tables/table3.xml><?xml version="1.0" encoding="utf-8"?>
<table xmlns="http://schemas.openxmlformats.org/spreadsheetml/2006/main" headerRowCount="0" ref="K262:L263" displayName="Table_3" name="Table_3" id="3">
  <tableColumns count="2">
    <tableColumn name="Column1" id="1"/>
    <tableColumn name="Column2" id="2"/>
  </tableColumns>
  <tableStyleInfo name="Workflow-style 2" showColumnStripes="0" showFirstColumn="1" showLastColumn="1" showRowStripes="1"/>
</table>
</file>

<file path=xl/tables/table4.xml><?xml version="1.0" encoding="utf-8"?>
<table xmlns="http://schemas.openxmlformats.org/spreadsheetml/2006/main" headerRowCount="0" ref="K264:L264" displayName="Table_4" name="Table_4" id="4">
  <tableColumns count="2">
    <tableColumn name="Column1" id="1"/>
    <tableColumn name="Column2" id="2"/>
  </tableColumns>
  <tableStyleInfo name="Workflow-style 3" showColumnStripes="0" showFirstColumn="1" showLastColumn="1" showRowStripes="1"/>
</table>
</file>

<file path=xl/tables/table5.xml><?xml version="1.0" encoding="utf-8"?>
<table xmlns="http://schemas.openxmlformats.org/spreadsheetml/2006/main" headerRowCount="0" ref="K265:L265" displayName="Table_5" name="Table_5" id="5">
  <tableColumns count="2">
    <tableColumn name="Column1" id="1"/>
    <tableColumn name="Column2" id="2"/>
  </tableColumns>
  <tableStyleInfo name="Workflow-style 4" showColumnStripes="0" showFirstColumn="1" showLastColumn="1" showRowStripes="1"/>
</table>
</file>

<file path=xl/tables/table6.xml><?xml version="1.0" encoding="utf-8"?>
<table xmlns="http://schemas.openxmlformats.org/spreadsheetml/2006/main" headerRowCount="0" ref="K266:L266" displayName="Table_6" name="Table_6" id="6">
  <tableColumns count="2">
    <tableColumn name="Column1" id="1"/>
    <tableColumn name="Column2" id="2"/>
  </tableColumns>
  <tableStyleInfo name="Workflow-style 5" showColumnStripes="0" showFirstColumn="1" showLastColumn="1" showRowStripes="1"/>
</table>
</file>

<file path=xl/tables/table7.xml><?xml version="1.0" encoding="utf-8"?>
<table xmlns="http://schemas.openxmlformats.org/spreadsheetml/2006/main" headerRowCount="0" ref="K267:L267" displayName="Table_7" name="Table_7" id="7">
  <tableColumns count="2">
    <tableColumn name="Column1" id="1"/>
    <tableColumn name="Column2" id="2"/>
  </tableColumns>
  <tableStyleInfo name="Workflow-style 6" showColumnStripes="0" showFirstColumn="1" showLastColumn="1" showRowStripes="1"/>
</table>
</file>

<file path=xl/tables/table8.xml><?xml version="1.0" encoding="utf-8"?>
<table xmlns="http://schemas.openxmlformats.org/spreadsheetml/2006/main" headerRowCount="0" ref="K268:L268" displayName="Table_8" name="Table_8" id="8">
  <tableColumns count="2">
    <tableColumn name="Column1" id="1"/>
    <tableColumn name="Column2" id="2"/>
  </tableColumns>
  <tableStyleInfo name="Workflow-style 7" showColumnStripes="0" showFirstColumn="1" showLastColumn="1" showRowStripes="1"/>
</table>
</file>

<file path=xl/tables/table9.xml><?xml version="1.0" encoding="utf-8"?>
<table xmlns="http://schemas.openxmlformats.org/spreadsheetml/2006/main" headerRowCount="0" ref="K269:M269" displayName="Table_9" name="Table_9" id="9">
  <tableColumns count="3">
    <tableColumn name="Column1" id="1"/>
    <tableColumn name="Column2" id="2"/>
    <tableColumn name="Column3" id="3"/>
  </tableColumns>
  <tableStyleInfo name="Workflow-style 8" showColumnStripes="0" showFirstColumn="1" showLastColumn="1" showRowStripes="1"/>
</table>
</file>

<file path=xl/tables/table10.xml><?xml version="1.0" encoding="utf-8"?>
<table xmlns="http://schemas.openxmlformats.org/spreadsheetml/2006/main" headerRowCount="0" ref="A6:C105" displayName="Table_10" name="Table_10" id="10">
  <tableColumns count="3">
    <tableColumn name="Column1" id="1"/>
    <tableColumn name="Column2" id="2"/>
    <tableColumn name="Column3" id="3"/>
  </tableColumns>
  <tableStyleInfo name="Help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1-15T05:56:59.00" personId="{761cc281-7698-4254-9d4d-35dec46e63c1}" id="{5f37b801-75df-4a8d-a72d-6f6658459c77}" done="0">
    <x18tc:text xml:space="preserve">Hapus Jaa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5-01-17T13:48:57.00" personId="{761cc281-7698-4254-9d4d-35dec46e63c1}" id="{b18b1b53-398e-4270-a1f7-84e78e9fc238}" done="1">
    <x18tc:text xml:space="preserve">Bikin Section OS Dan LS. Biar ketaun aproject siapanya</x18tc:text>
  </x18tc:threadedComment>
  <x18tc:threadedComment ref="S36" dT="2025-01-17T13:48:07.00" personId="{761cc281-7698-4254-9d4d-35dec46e63c1}" id="{96c207e8-f748-4bbf-b64d-107674aed11f}" done="1">
    <x18tc:text xml:space="preserve">Tanggal nya Ga Otomatis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3-bsHwOKUS9nUOMOwU86Bwmlc271q7nP?usp=drive_link" TargetMode="External"/><Relationship Id="rId42" Type="http://schemas.openxmlformats.org/officeDocument/2006/relationships/hyperlink" Target="https://drive.google.com/drive/folders/1m9uPbqJLmDqbagBtwbA3PITCCshj8I5-?usp=sharing" TargetMode="External"/><Relationship Id="rId41" Type="http://schemas.openxmlformats.org/officeDocument/2006/relationships/hyperlink" Target="https://drive.google.com/drive/folders/1VHUzzu8B3fxdWLhVbwN6Bt5A7XvCW12o" TargetMode="External"/><Relationship Id="rId44" Type="http://schemas.openxmlformats.org/officeDocument/2006/relationships/hyperlink" Target="https://drive.google.com/drive/folders/1AXzwDBYMM8ljzypAIgdaDrZ8JfecVX8m?usp=drive_link" TargetMode="External"/><Relationship Id="rId43" Type="http://schemas.openxmlformats.org/officeDocument/2006/relationships/hyperlink" Target="https://drive.google.com/drive/folders/1WGn8CYJk9r5J9LMSZmfF0_7XBzo8as6P?usp=drive_link" TargetMode="External"/><Relationship Id="rId46" Type="http://schemas.openxmlformats.org/officeDocument/2006/relationships/hyperlink" Target="https://drive.google.com/drive/folders/1RS_Z2pmEX8t9H5HRaDp5wkYVYUcjtyo2?usp=sharing" TargetMode="External"/><Relationship Id="rId45" Type="http://schemas.openxmlformats.org/officeDocument/2006/relationships/hyperlink" Target="https://drive.google.com/drive/folders/12DKPsgDqPJC5Azy-2iJOn8uRKcWxj_E4?usp=drive_link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drive/folders/1-hacH_MoKZTyj9z0iLhVNKVcfEs5SYOv?usp=sharing" TargetMode="External"/><Relationship Id="rId9" Type="http://schemas.openxmlformats.org/officeDocument/2006/relationships/hyperlink" Target="https://drive.google.com/drive/folders/1aCJrohtxDWHPEG2Pca8w5ypqgoE7m625?usp=sharing" TargetMode="External"/><Relationship Id="rId48" Type="http://schemas.openxmlformats.org/officeDocument/2006/relationships/hyperlink" Target="https://drive.google.com/drive/folders/1aSqevx1lsnk-G1-IkTvuL4FlO2Z37ZC3?usp=drive_link" TargetMode="External"/><Relationship Id="rId47" Type="http://schemas.openxmlformats.org/officeDocument/2006/relationships/hyperlink" Target="https://drive.google.com/drive/folders/19tldBPUEzIcYlPwApaOJ5kPBUrDNLuHq?usp=sharing" TargetMode="External"/><Relationship Id="rId49" Type="http://schemas.openxmlformats.org/officeDocument/2006/relationships/hyperlink" Target="https://drive.google.com/drive/folders/1jPBFTyIh82qCXP2yO0m2hwyzcQtOkAaZ?usp=sharing" TargetMode="External"/><Relationship Id="rId5" Type="http://schemas.openxmlformats.org/officeDocument/2006/relationships/hyperlink" Target="https://www.instagram.com/onespiritasia/reel/DOz2rL1kodS/" TargetMode="External"/><Relationship Id="rId6" Type="http://schemas.openxmlformats.org/officeDocument/2006/relationships/hyperlink" Target="https://drive.google.com/drive/folders/1fv2kALZPjBrLNY8ilmc52dU_CcVBsGin?usp=sharing" TargetMode="External"/><Relationship Id="rId7" Type="http://schemas.openxmlformats.org/officeDocument/2006/relationships/hyperlink" Target="https://www.instagram.com/onespiritasia/reel/DEhOFIxyZ1z/" TargetMode="External"/><Relationship Id="rId8" Type="http://schemas.openxmlformats.org/officeDocument/2006/relationships/hyperlink" Target="https://www.instagram.com/onespiritasia/reel/DGKVoHozZvI/" TargetMode="External"/><Relationship Id="rId31" Type="http://schemas.openxmlformats.org/officeDocument/2006/relationships/hyperlink" Target="https://drive.google.com/drive/folders/1lz7TaxXidGCauIKO7_qjS3TmGESzugcu?usp=sharing" TargetMode="External"/><Relationship Id="rId30" Type="http://schemas.openxmlformats.org/officeDocument/2006/relationships/hyperlink" Target="https://www.instagram.com/onespiritasia/reel/DGZTeSJTn46/" TargetMode="External"/><Relationship Id="rId33" Type="http://schemas.openxmlformats.org/officeDocument/2006/relationships/hyperlink" Target="https://drive.google.com/drive/folders/1lz7TaxXidGCauIKO7_qjS3TmGESzugcu" TargetMode="External"/><Relationship Id="rId32" Type="http://schemas.openxmlformats.org/officeDocument/2006/relationships/hyperlink" Target="https://acrobat.adobe.com/id/urn:aaid:sc:AP:6d0e2d53-fb50-46fa-afbd-fc8325f01ac2" TargetMode="External"/><Relationship Id="rId35" Type="http://schemas.openxmlformats.org/officeDocument/2006/relationships/hyperlink" Target="https://drive.google.com/drive/folders/1t5rRSFqMQDaSNhDYh2kzZPDLYJDSfx-Z?usp=sharing" TargetMode="External"/><Relationship Id="rId34" Type="http://schemas.openxmlformats.org/officeDocument/2006/relationships/hyperlink" Target="https://drive.google.com/drive/folders/1Z06kZmc1B3WUjgMAdNPrtePth25Xwapv?usp=sharing" TargetMode="External"/><Relationship Id="rId37" Type="http://schemas.openxmlformats.org/officeDocument/2006/relationships/hyperlink" Target="https://drive.google.com/drive/folders/15C2dnAsFjsForf2zNng0SqYJBdM1XUKV" TargetMode="External"/><Relationship Id="rId36" Type="http://schemas.openxmlformats.org/officeDocument/2006/relationships/hyperlink" Target="https://drive.google.com/drive/folders/1sYmR7MLtVQ40-Pu9Q91F0ZtDJEJMqj8D" TargetMode="External"/><Relationship Id="rId39" Type="http://schemas.openxmlformats.org/officeDocument/2006/relationships/hyperlink" Target="https://drive.google.com/drive/folders/1emq0LaOw4ypwe6WGblywctr3Rl1-tBjs?usp=sharing" TargetMode="External"/><Relationship Id="rId38" Type="http://schemas.openxmlformats.org/officeDocument/2006/relationships/hyperlink" Target="https://drive.google.com/drive/folders/1NyzmXL5Sjb2gr5iOCOu_5Og2pAOox5tm?usp=sharing" TargetMode="External"/><Relationship Id="rId62" Type="http://schemas.openxmlformats.org/officeDocument/2006/relationships/table" Target="../tables/table4.xml"/><Relationship Id="rId61" Type="http://schemas.openxmlformats.org/officeDocument/2006/relationships/table" Target="../tables/table3.xml"/><Relationship Id="rId20" Type="http://schemas.openxmlformats.org/officeDocument/2006/relationships/hyperlink" Target="https://drive.google.com/drive/folders/1zMDuPh1E2kf6Yd4UtQruXN9u1f390I37?usp=sharing" TargetMode="External"/><Relationship Id="rId64" Type="http://schemas.openxmlformats.org/officeDocument/2006/relationships/table" Target="../tables/table6.xml"/><Relationship Id="rId63" Type="http://schemas.openxmlformats.org/officeDocument/2006/relationships/table" Target="../tables/table5.xml"/><Relationship Id="rId22" Type="http://schemas.openxmlformats.org/officeDocument/2006/relationships/hyperlink" Target="https://www.instagram.com/onespiritasia/reel/DGKVoHozZvI/" TargetMode="External"/><Relationship Id="rId66" Type="http://schemas.openxmlformats.org/officeDocument/2006/relationships/table" Target="../tables/table8.xml"/><Relationship Id="rId21" Type="http://schemas.openxmlformats.org/officeDocument/2006/relationships/hyperlink" Target="https://drive.google.com/drive/folders/1BEyJ6Huic6QO3Sz4pVyOBL0y2yCqDv26?usp=sharing" TargetMode="External"/><Relationship Id="rId65" Type="http://schemas.openxmlformats.org/officeDocument/2006/relationships/table" Target="../tables/table7.xml"/><Relationship Id="rId24" Type="http://schemas.openxmlformats.org/officeDocument/2006/relationships/hyperlink" Target="https://drive.google.com/drive/folders/1FmBuxbny6KG7Z8QfaFhOUs1t4xwnDMs2?usp=sharing" TargetMode="External"/><Relationship Id="rId23" Type="http://schemas.openxmlformats.org/officeDocument/2006/relationships/hyperlink" Target="https://drive.google.com/file/d/1PKONQAygQGPxJjNNJEs-p5jYnn4zWhj8/view?usp=drive_link" TargetMode="External"/><Relationship Id="rId67" Type="http://schemas.openxmlformats.org/officeDocument/2006/relationships/table" Target="../tables/table9.xml"/><Relationship Id="rId60" Type="http://schemas.openxmlformats.org/officeDocument/2006/relationships/table" Target="../tables/table2.xml"/><Relationship Id="rId26" Type="http://schemas.openxmlformats.org/officeDocument/2006/relationships/hyperlink" Target="https://www.instagram.com/onespiritasia/reel/DF444cATBiX/" TargetMode="External"/><Relationship Id="rId25" Type="http://schemas.openxmlformats.org/officeDocument/2006/relationships/hyperlink" Target="https://drive.google.com/drive/folders/1Y-fvzu1KSj7KptbYLn_7nvDXom35_Wt_?usp=sharing" TargetMode="External"/><Relationship Id="rId28" Type="http://schemas.openxmlformats.org/officeDocument/2006/relationships/hyperlink" Target="https://www.instagram.com/onespiritasia/reel/DGULGiiy_Kr/" TargetMode="External"/><Relationship Id="rId27" Type="http://schemas.openxmlformats.org/officeDocument/2006/relationships/hyperlink" Target="https://drive.google.com/drive/folders/1QuKPBqPQOu521IdGQp-U4MQNsfEstF6z" TargetMode="External"/><Relationship Id="rId29" Type="http://schemas.openxmlformats.org/officeDocument/2006/relationships/hyperlink" Target="https://drive.google.com/drive/folders/1sx2t0UYlbGU8qQWXBFQaD2A_jnLo9dA8?usp=sharing" TargetMode="External"/><Relationship Id="rId51" Type="http://schemas.openxmlformats.org/officeDocument/2006/relationships/vmlDrawing" Target="../drawings/vmlDrawing2.vml"/><Relationship Id="rId50" Type="http://schemas.openxmlformats.org/officeDocument/2006/relationships/drawing" Target="../drawings/drawing3.xml"/><Relationship Id="rId11" Type="http://schemas.openxmlformats.org/officeDocument/2006/relationships/hyperlink" Target="https://drive.google.com/drive/folders/13SyTVbqrxIMEKzghU4oSdBqlhFS7s1JV" TargetMode="External"/><Relationship Id="rId10" Type="http://schemas.openxmlformats.org/officeDocument/2006/relationships/hyperlink" Target="https://www.instagram.com/onespiritasia/reel/DE9k1lQSMNu/" TargetMode="External"/><Relationship Id="rId13" Type="http://schemas.openxmlformats.org/officeDocument/2006/relationships/hyperlink" Target="https://drive.google.com/drive/folders/1mE1BpaeyOE5rUqgy7tk658vqcjWkzj5p?usp=sharing" TargetMode="External"/><Relationship Id="rId12" Type="http://schemas.openxmlformats.org/officeDocument/2006/relationships/hyperlink" Target="https://drive.google.com/drive/folders/1CtJvNSkqO46UgP2HMHa_LnVbhXdE7RK6?usp=sharing" TargetMode="External"/><Relationship Id="rId15" Type="http://schemas.openxmlformats.org/officeDocument/2006/relationships/hyperlink" Target="https://drive.google.com/drive/folders/1mE1BpaeyOE5rUqgy7tk658vqcjWkzj5p?usp=sharing" TargetMode="External"/><Relationship Id="rId14" Type="http://schemas.openxmlformats.org/officeDocument/2006/relationships/hyperlink" Target="https://www.instagram.com/onespiritasia/reel/DLG6daKyvEd/" TargetMode="External"/><Relationship Id="rId17" Type="http://schemas.openxmlformats.org/officeDocument/2006/relationships/hyperlink" Target="https://drive.google.com/drive/folders/17EfwWcAsKZUR6-OaT86CtLuYMkg_Y3W2" TargetMode="External"/><Relationship Id="rId16" Type="http://schemas.openxmlformats.org/officeDocument/2006/relationships/hyperlink" Target="https://www.instagram.com/onespiritasia/reel/DLG6daKyvEd/" TargetMode="External"/><Relationship Id="rId19" Type="http://schemas.openxmlformats.org/officeDocument/2006/relationships/hyperlink" Target="https://drive.google.com/file/d/1jp6i0BvqlQfrwQcJBuGIF2oTErSZgcfa/view?usp=drive_link" TargetMode="External"/><Relationship Id="rId18" Type="http://schemas.openxmlformats.org/officeDocument/2006/relationships/hyperlink" Target="https://www.instagram.com/onespiritasia/reel/DFwwnT6zJnt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23.89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0</v>
      </c>
      <c r="B2" s="4"/>
      <c r="C2" s="4"/>
      <c r="D2" s="4"/>
      <c r="E2" s="4"/>
      <c r="F2" s="4"/>
      <c r="G2" s="4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1</v>
      </c>
      <c r="B4" s="7" t="s">
        <v>2</v>
      </c>
      <c r="C4" s="4"/>
      <c r="D4" s="4"/>
      <c r="E4" s="4"/>
      <c r="F4" s="4"/>
      <c r="G4" s="4"/>
      <c r="H4" s="5"/>
      <c r="I4" s="2"/>
      <c r="J4" s="8"/>
      <c r="K4" s="9"/>
      <c r="L4" s="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3</v>
      </c>
      <c r="B5" s="10" t="s">
        <v>4</v>
      </c>
      <c r="C5" s="4"/>
      <c r="D5" s="4"/>
      <c r="E5" s="4"/>
      <c r="F5" s="4"/>
      <c r="G5" s="4"/>
      <c r="H5" s="5"/>
      <c r="I5" s="2"/>
      <c r="J5" s="8"/>
      <c r="K5" s="9"/>
      <c r="L5" s="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5</v>
      </c>
      <c r="B6" s="11" t="s">
        <v>6</v>
      </c>
      <c r="C6" s="4"/>
      <c r="D6" s="4"/>
      <c r="E6" s="4"/>
      <c r="F6" s="4"/>
      <c r="G6" s="4"/>
      <c r="H6" s="5"/>
      <c r="I6" s="2"/>
      <c r="J6" s="8"/>
      <c r="K6" s="9"/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 t="s">
        <v>7</v>
      </c>
      <c r="B7" s="12">
        <v>45929.0</v>
      </c>
      <c r="C7" s="4"/>
      <c r="D7" s="4"/>
      <c r="E7" s="4"/>
      <c r="F7" s="4"/>
      <c r="G7" s="4"/>
      <c r="H7" s="5"/>
      <c r="I7" s="2"/>
      <c r="J7" s="8"/>
      <c r="K7" s="9"/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6" t="s">
        <v>8</v>
      </c>
      <c r="B8" s="13"/>
      <c r="C8" s="5"/>
      <c r="D8" s="11" t="s">
        <v>9</v>
      </c>
      <c r="E8" s="4"/>
      <c r="F8" s="4"/>
      <c r="G8" s="4"/>
      <c r="H8" s="5"/>
      <c r="I8" s="2"/>
      <c r="J8" s="8"/>
      <c r="K8" s="9"/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4"/>
      <c r="B9" s="14"/>
      <c r="C9" s="14"/>
      <c r="D9" s="14"/>
      <c r="E9" s="14"/>
      <c r="F9" s="14"/>
      <c r="G9" s="14"/>
      <c r="H9" s="14"/>
      <c r="I9" s="2"/>
      <c r="J9" s="8"/>
      <c r="K9" s="9"/>
      <c r="L9" s="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5" t="s">
        <v>10</v>
      </c>
      <c r="B10" s="16" t="s">
        <v>11</v>
      </c>
      <c r="C10" s="4"/>
      <c r="D10" s="4"/>
      <c r="E10" s="4"/>
      <c r="F10" s="4"/>
      <c r="G10" s="4"/>
      <c r="H10" s="5"/>
      <c r="I10" s="2"/>
      <c r="J10" s="8"/>
      <c r="K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5" t="s">
        <v>12</v>
      </c>
      <c r="B11" s="16" t="s">
        <v>13</v>
      </c>
      <c r="C11" s="4"/>
      <c r="D11" s="4"/>
      <c r="E11" s="4"/>
      <c r="F11" s="4"/>
      <c r="G11" s="4"/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5" t="s">
        <v>14</v>
      </c>
      <c r="B12" s="16" t="s">
        <v>15</v>
      </c>
      <c r="C12" s="4"/>
      <c r="D12" s="4"/>
      <c r="E12" s="4"/>
      <c r="F12" s="4"/>
      <c r="G12" s="4"/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5" t="s">
        <v>16</v>
      </c>
      <c r="B13" s="16" t="s">
        <v>17</v>
      </c>
      <c r="C13" s="4"/>
      <c r="D13" s="4"/>
      <c r="E13" s="4"/>
      <c r="F13" s="4"/>
      <c r="G13" s="4"/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5" t="s">
        <v>18</v>
      </c>
      <c r="B14" s="16" t="s">
        <v>19</v>
      </c>
      <c r="C14" s="4"/>
      <c r="D14" s="4"/>
      <c r="E14" s="4"/>
      <c r="F14" s="4"/>
      <c r="G14" s="4"/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5" t="s">
        <v>20</v>
      </c>
      <c r="B15" s="16" t="s">
        <v>21</v>
      </c>
      <c r="C15" s="4"/>
      <c r="D15" s="4"/>
      <c r="E15" s="4"/>
      <c r="F15" s="4"/>
      <c r="G15" s="4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5" t="s">
        <v>22</v>
      </c>
      <c r="B16" s="16" t="s">
        <v>23</v>
      </c>
      <c r="C16" s="4"/>
      <c r="D16" s="4"/>
      <c r="E16" s="4"/>
      <c r="F16" s="4"/>
      <c r="G16" s="4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5" t="s">
        <v>24</v>
      </c>
      <c r="B17" s="16" t="s">
        <v>25</v>
      </c>
      <c r="C17" s="4"/>
      <c r="D17" s="4"/>
      <c r="E17" s="4"/>
      <c r="F17" s="4"/>
      <c r="G17" s="4"/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/>
      <c r="B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/>
      <c r="B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/>
      <c r="B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/>
      <c r="B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/>
      <c r="B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/>
      <c r="B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/>
      <c r="B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/>
      <c r="B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/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/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/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/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/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/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/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/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/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/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/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/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/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/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"/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/>
      <c r="B55" s="1"/>
      <c r="C55" s="1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/>
      <c r="B56" s="1"/>
      <c r="C56" s="1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1"/>
      <c r="B1001" s="1"/>
      <c r="C1001" s="1"/>
      <c r="D1001" s="1"/>
      <c r="E1001" s="1"/>
      <c r="F1001" s="1"/>
      <c r="G1001" s="1"/>
      <c r="H1001" s="1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1"/>
      <c r="B1002" s="1"/>
      <c r="C1002" s="1"/>
      <c r="D1002" s="1"/>
      <c r="E1002" s="1"/>
      <c r="F1002" s="1"/>
      <c r="G1002" s="1"/>
      <c r="H1002" s="1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1"/>
      <c r="B1003" s="1"/>
      <c r="C1003" s="1"/>
      <c r="D1003" s="1"/>
      <c r="E1003" s="1"/>
      <c r="F1003" s="1"/>
      <c r="G1003" s="1"/>
      <c r="H1003" s="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1"/>
      <c r="B1004" s="1"/>
      <c r="C1004" s="1"/>
      <c r="D1004" s="1"/>
      <c r="E1004" s="1"/>
      <c r="F1004" s="1"/>
      <c r="G1004" s="1"/>
      <c r="H1004" s="1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</sheetData>
  <mergeCells count="24">
    <mergeCell ref="A2:H2"/>
    <mergeCell ref="B4:H4"/>
    <mergeCell ref="B5:H5"/>
    <mergeCell ref="B6:H6"/>
    <mergeCell ref="B7:H7"/>
    <mergeCell ref="B8:C8"/>
    <mergeCell ref="D8:H8"/>
    <mergeCell ref="B10:H10"/>
    <mergeCell ref="K10:L10"/>
    <mergeCell ref="B11:H11"/>
    <mergeCell ref="B12:H12"/>
    <mergeCell ref="B13:H13"/>
    <mergeCell ref="B14:H14"/>
    <mergeCell ref="B15:H15"/>
    <mergeCell ref="B23:H23"/>
    <mergeCell ref="B24:H24"/>
    <mergeCell ref="B25:H25"/>
    <mergeCell ref="B16:H16"/>
    <mergeCell ref="B17:H17"/>
    <mergeCell ref="B18:H18"/>
    <mergeCell ref="B19:H19"/>
    <mergeCell ref="B20:H20"/>
    <mergeCell ref="B21:H21"/>
    <mergeCell ref="B22:H2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3.22"/>
    <col customWidth="1" min="3" max="3" width="14.56"/>
    <col customWidth="1" min="4" max="5" width="21.0"/>
    <col customWidth="1" min="6" max="6" width="12.44"/>
    <col customWidth="1" min="7" max="7" width="14.33"/>
    <col customWidth="1" min="8" max="8" width="17.22"/>
    <col customWidth="1" min="9" max="9" width="20.78"/>
    <col customWidth="1" min="10" max="10" width="7.78"/>
    <col customWidth="1" min="11" max="11" width="11.89"/>
    <col customWidth="1" min="12" max="12" width="13.22"/>
    <col customWidth="1" min="13" max="13" width="16.56"/>
    <col customWidth="1" min="14" max="14" width="15.67"/>
    <col customWidth="1" min="15" max="15" width="6.11"/>
    <col customWidth="1" min="16" max="16" width="13.89"/>
    <col customWidth="1" min="17" max="17" width="17.44"/>
    <col customWidth="1" min="18" max="18" width="16.11"/>
    <col customWidth="1" min="19" max="19" width="5.67"/>
    <col customWidth="1" min="20" max="20" width="13.67"/>
    <col customWidth="1" min="21" max="21" width="9.44"/>
    <col customWidth="1" min="22" max="22" width="18.11"/>
    <col customWidth="1" min="23" max="23" width="5.44"/>
    <col customWidth="1" min="25" max="25" width="16.56"/>
    <col customWidth="1" min="26" max="26" width="12.78"/>
    <col customWidth="1" min="27" max="27" width="6.56"/>
    <col customWidth="1" min="35" max="35" width="2.78"/>
  </cols>
  <sheetData>
    <row r="1" ht="7.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>
      <c r="A3" s="17"/>
      <c r="B3" s="18" t="s">
        <v>26</v>
      </c>
      <c r="AI3" s="17"/>
    </row>
    <row r="4">
      <c r="A4" s="17"/>
      <c r="AI4" s="17"/>
    </row>
    <row r="5">
      <c r="A5" s="17"/>
      <c r="AI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9"/>
      <c r="W6" s="19"/>
      <c r="X6" s="19"/>
      <c r="Y6" s="19"/>
      <c r="Z6" s="20"/>
      <c r="AA6" s="17"/>
      <c r="AB6" s="17"/>
      <c r="AC6" s="17"/>
      <c r="AD6" s="17"/>
      <c r="AE6" s="17"/>
      <c r="AF6" s="17"/>
      <c r="AG6" s="17"/>
      <c r="AH6" s="17"/>
      <c r="AI6" s="17"/>
    </row>
    <row r="7">
      <c r="A7" s="17"/>
      <c r="B7" s="21" t="s">
        <v>27</v>
      </c>
      <c r="F7" s="21" t="s">
        <v>28</v>
      </c>
      <c r="J7" s="17"/>
      <c r="K7" s="22"/>
      <c r="L7" s="22" t="str">
        <f>Helper!J44</f>
        <v>Quotation Status</v>
      </c>
      <c r="O7" s="19"/>
      <c r="P7" s="23" t="str">
        <f>Helper!J11</f>
        <v>Program Status</v>
      </c>
      <c r="S7" s="17"/>
      <c r="T7" s="22" t="str">
        <f>Helper!J23</f>
        <v>Payment Status</v>
      </c>
      <c r="W7" s="17"/>
      <c r="X7" s="22" t="str">
        <f>Helper!M38</f>
        <v>Customer
Category</v>
      </c>
      <c r="AA7" s="17"/>
      <c r="AB7" s="19"/>
      <c r="AC7" s="19"/>
      <c r="AD7" s="19"/>
      <c r="AE7" s="17"/>
      <c r="AF7" s="17"/>
      <c r="AG7" s="17"/>
      <c r="AH7" s="17"/>
      <c r="AI7" s="17"/>
    </row>
    <row r="8">
      <c r="A8" s="17"/>
      <c r="J8" s="17"/>
      <c r="K8" s="24"/>
      <c r="L8" s="25">
        <f>Helper!K45</f>
        <v>142</v>
      </c>
      <c r="N8" s="26" t="s">
        <v>29</v>
      </c>
      <c r="O8" s="19"/>
      <c r="P8" s="25">
        <f>Helper!K12</f>
        <v>142</v>
      </c>
      <c r="R8" s="27" t="str">
        <f>Helper!J12</f>
        <v>Cancel</v>
      </c>
      <c r="S8" s="19"/>
      <c r="T8" s="25">
        <f>Helper!K24</f>
        <v>1</v>
      </c>
      <c r="V8" s="26" t="s">
        <v>30</v>
      </c>
      <c r="W8" s="17"/>
      <c r="X8" s="25">
        <f>Helper!N40</f>
        <v>4</v>
      </c>
      <c r="Z8" s="26" t="str">
        <f>Helper!M40</f>
        <v>Campus</v>
      </c>
      <c r="AA8" s="17"/>
      <c r="AB8" s="25">
        <f>Helper!N43</f>
        <v>17</v>
      </c>
      <c r="AD8" s="26" t="str">
        <f>Helper!M43</f>
        <v>Other</v>
      </c>
      <c r="AE8" s="17"/>
      <c r="AF8" s="17"/>
      <c r="AG8" s="17"/>
      <c r="AH8" s="17"/>
      <c r="AI8" s="17"/>
    </row>
    <row r="9">
      <c r="A9" s="17"/>
      <c r="B9" s="19"/>
      <c r="C9" s="19"/>
      <c r="D9" s="19"/>
      <c r="E9" s="19"/>
      <c r="F9" s="28" t="s">
        <v>31</v>
      </c>
      <c r="G9" s="29">
        <v>9.2E9</v>
      </c>
      <c r="H9" s="30">
        <f>F10/G9*100%</f>
        <v>1.149293828</v>
      </c>
      <c r="I9" s="19"/>
      <c r="J9" s="17"/>
      <c r="K9" s="24"/>
      <c r="O9" s="19"/>
      <c r="S9" s="19"/>
      <c r="W9" s="19"/>
      <c r="AA9" s="17"/>
      <c r="AE9" s="17"/>
      <c r="AF9" s="17"/>
      <c r="AG9" s="17"/>
      <c r="AH9" s="17"/>
      <c r="AI9" s="17"/>
    </row>
    <row r="10">
      <c r="A10" s="17"/>
      <c r="B10" s="31">
        <f>Helper!L71</f>
        <v>31515619883</v>
      </c>
      <c r="F10" s="31">
        <f>Helper!L70</f>
        <v>10573503222</v>
      </c>
      <c r="J10" s="32">
        <f>Helper!E20</f>
        <v>0.3355004046</v>
      </c>
      <c r="K10" s="24"/>
      <c r="N10" s="33" t="s">
        <v>32</v>
      </c>
      <c r="O10" s="19"/>
      <c r="R10" s="33" t="s">
        <v>33</v>
      </c>
      <c r="S10" s="19"/>
      <c r="V10" s="33" t="s">
        <v>34</v>
      </c>
      <c r="W10" s="19"/>
      <c r="Z10" s="33"/>
      <c r="AA10" s="17"/>
      <c r="AD10" s="33"/>
      <c r="AE10" s="17"/>
      <c r="AF10" s="17"/>
      <c r="AG10" s="17"/>
      <c r="AH10" s="17"/>
      <c r="AI10" s="17"/>
    </row>
    <row r="11">
      <c r="A11" s="17"/>
      <c r="J11" s="17"/>
      <c r="K11" s="24"/>
      <c r="O11" s="19"/>
      <c r="S11" s="19"/>
      <c r="W11" s="19"/>
      <c r="AA11" s="17"/>
      <c r="AE11" s="17"/>
      <c r="AF11" s="17"/>
      <c r="AG11" s="17"/>
      <c r="AH11" s="17"/>
      <c r="AI11" s="17"/>
    </row>
    <row r="12">
      <c r="A12" s="17"/>
      <c r="J12" s="17"/>
      <c r="K12" s="34"/>
      <c r="L12" s="35" t="str">
        <f>IFERROR(__xludf.DUMMYFUNCTION("IFERROR(SPARKLINE(L13,{""charttype"",""bar"";""max"",1;""min"",0;""color1"",""#ef0101""}))"),"")</f>
        <v/>
      </c>
      <c r="O12" s="19"/>
      <c r="P12" s="35" t="str">
        <f>IFERROR(__xludf.DUMMYFUNCTION("IFERROR(SPARKLINE(P13,{""charttype"",""bar"";""max"",1;""min"",0;""color1"",""#ef0101""}))"),"")</f>
        <v/>
      </c>
      <c r="S12" s="19"/>
      <c r="T12" s="35" t="str">
        <f>IFERROR(__xludf.DUMMYFUNCTION("IFERROR(SPARKLINE(T13,{""charttype"",""bar"";""max"",1;""min"",0;""color1"",""#ffe5ca""}))"),"")</f>
        <v/>
      </c>
      <c r="W12" s="17"/>
      <c r="X12" s="35" t="str">
        <f>IFERROR(__xludf.DUMMYFUNCTION("IFERROR(SPARKLINE(X13,{""charttype"",""bar"";""max"",1;""min"",0;""color1"",""#42bdff""}))"),"")</f>
        <v/>
      </c>
      <c r="AA12" s="17"/>
      <c r="AB12" s="35" t="str">
        <f>IFERROR(__xludf.DUMMYFUNCTION("IFERROR(SPARKLINE(AB13,{""charttype"",""bar"";""max"",1;""min"",0;""color1"",""#42bdff""}))"),"")</f>
        <v/>
      </c>
      <c r="AE12" s="17"/>
      <c r="AF12" s="17"/>
      <c r="AG12" s="17"/>
      <c r="AH12" s="17"/>
      <c r="AI12" s="17"/>
    </row>
    <row r="13">
      <c r="A13" s="17"/>
      <c r="J13" s="17"/>
      <c r="K13" s="36"/>
      <c r="L13" s="37">
        <f>L8/N13</f>
        <v>0.5378787879</v>
      </c>
      <c r="M13" s="38"/>
      <c r="N13" s="39">
        <f>B21</f>
        <v>264</v>
      </c>
      <c r="O13" s="19"/>
      <c r="P13" s="37">
        <f>P8/R13</f>
        <v>0.5378787879</v>
      </c>
      <c r="Q13" s="38"/>
      <c r="R13" s="39">
        <f>B21</f>
        <v>264</v>
      </c>
      <c r="S13" s="19"/>
      <c r="T13" s="37">
        <f>T8/V13</f>
        <v>0.008196721311</v>
      </c>
      <c r="U13" s="38"/>
      <c r="V13" s="39">
        <f>F21</f>
        <v>122</v>
      </c>
      <c r="W13" s="19"/>
      <c r="X13" s="37">
        <f>X8/Z13</f>
        <v>0.01515151515</v>
      </c>
      <c r="Y13" s="38"/>
      <c r="Z13" s="39">
        <f>B21</f>
        <v>264</v>
      </c>
      <c r="AA13" s="17"/>
      <c r="AB13" s="37">
        <f>AB8/AD13</f>
        <v>0.06439393939</v>
      </c>
      <c r="AC13" s="38"/>
      <c r="AD13" s="40">
        <f>B21</f>
        <v>264</v>
      </c>
      <c r="AE13" s="17"/>
      <c r="AF13" s="17"/>
      <c r="AG13" s="17"/>
      <c r="AH13" s="17"/>
      <c r="AI13" s="17"/>
    </row>
    <row r="14">
      <c r="A14" s="17"/>
      <c r="J14" s="17"/>
      <c r="K14" s="24"/>
      <c r="L14" s="41">
        <v>0.0</v>
      </c>
      <c r="M14" s="42"/>
      <c r="N14" s="43" t="s">
        <v>35</v>
      </c>
      <c r="O14" s="19"/>
      <c r="P14" s="44">
        <f>Helper!K13</f>
        <v>122</v>
      </c>
      <c r="Q14" s="42"/>
      <c r="R14" s="45" t="str">
        <f>Helper!J13</f>
        <v>Confirm</v>
      </c>
      <c r="S14" s="19"/>
      <c r="T14" s="44">
        <f>Helper!K25</f>
        <v>12</v>
      </c>
      <c r="U14" s="42"/>
      <c r="V14" s="45" t="str">
        <f>Helper!J25</f>
        <v>Out Standing</v>
      </c>
      <c r="W14" s="19"/>
      <c r="X14" s="44">
        <f>Helper!N41</f>
        <v>200</v>
      </c>
      <c r="Y14" s="42"/>
      <c r="Z14" s="45" t="str">
        <f>Helper!M41</f>
        <v>Corporate</v>
      </c>
      <c r="AA14" s="17"/>
      <c r="AB14" s="44">
        <f>Helper!N44</f>
        <v>4</v>
      </c>
      <c r="AC14" s="42"/>
      <c r="AD14" s="45" t="str">
        <f>Helper!M44</f>
        <v>Student</v>
      </c>
      <c r="AE14" s="17"/>
      <c r="AF14" s="17"/>
      <c r="AG14" s="17"/>
      <c r="AH14" s="17"/>
      <c r="AI14" s="17"/>
    </row>
    <row r="15">
      <c r="A15" s="17"/>
      <c r="J15" s="17"/>
      <c r="K15" s="24"/>
      <c r="O15" s="19"/>
      <c r="S15" s="19"/>
      <c r="W15" s="19"/>
      <c r="AA15" s="17"/>
      <c r="AE15" s="17"/>
      <c r="AF15" s="17"/>
      <c r="AG15" s="17"/>
      <c r="AH15" s="17"/>
      <c r="AI15" s="17"/>
    </row>
    <row r="16">
      <c r="A16" s="17"/>
      <c r="J16" s="17"/>
      <c r="K16" s="24"/>
      <c r="N16" s="33"/>
      <c r="O16" s="19"/>
      <c r="R16" s="33" t="s">
        <v>36</v>
      </c>
      <c r="S16" s="19"/>
      <c r="V16" s="33" t="s">
        <v>37</v>
      </c>
      <c r="W16" s="19"/>
      <c r="Z16" s="33"/>
      <c r="AA16" s="17"/>
      <c r="AD16" s="33"/>
      <c r="AE16" s="17"/>
      <c r="AF16" s="17"/>
      <c r="AG16" s="17"/>
      <c r="AH16" s="17"/>
      <c r="AI16" s="17"/>
    </row>
    <row r="17">
      <c r="A17" s="17"/>
      <c r="B17" s="19"/>
      <c r="C17" s="19"/>
      <c r="D17" s="19"/>
      <c r="E17" s="19"/>
      <c r="F17" s="28">
        <v>2023.0</v>
      </c>
      <c r="G17" s="46">
        <v>2024.0</v>
      </c>
      <c r="H17" s="47">
        <v>2025.0</v>
      </c>
      <c r="I17" s="19"/>
      <c r="J17" s="48"/>
      <c r="K17" s="24"/>
      <c r="O17" s="19"/>
      <c r="S17" s="19"/>
      <c r="W17" s="19"/>
      <c r="AA17" s="17"/>
      <c r="AE17" s="17"/>
      <c r="AF17" s="17"/>
      <c r="AG17" s="17"/>
      <c r="AH17" s="17"/>
      <c r="AI17" s="17"/>
    </row>
    <row r="18">
      <c r="A18" s="17"/>
      <c r="B18" s="19"/>
      <c r="C18" s="19"/>
      <c r="D18" s="19"/>
      <c r="E18" s="19"/>
      <c r="F18" s="49">
        <v>7.751804687E9</v>
      </c>
      <c r="G18" s="50">
        <v>6.146278045E9</v>
      </c>
      <c r="H18" s="51">
        <f>F10-G18</f>
        <v>4427225177</v>
      </c>
      <c r="I18" s="52">
        <f>F10-F18</f>
        <v>2821698535</v>
      </c>
      <c r="J18" s="48"/>
      <c r="K18" s="53"/>
      <c r="L18" s="54" t="str">
        <f>IFERROR(__xludf.DUMMYFUNCTION("IFERROR(SPARKLINE(L19,{""charttype"",""bar"";""max"",1;""min"",0;""color1"",""#ffe5ca""}))"),"")</f>
        <v/>
      </c>
      <c r="O18" s="19"/>
      <c r="P18" s="54" t="str">
        <f>IFERROR(__xludf.DUMMYFUNCTION("IFERROR(SPARKLINE(P19,{""charttype"",""bar"";""max"",1;""min"",0;""color1"",""#b6d7a8""}))"),"")</f>
        <v/>
      </c>
      <c r="S18" s="19"/>
      <c r="T18" s="54" t="str">
        <f>IFERROR(__xludf.DUMMYFUNCTION("IFERROR(SPARKLINE(T19,{""charttype"",""bar"";""max"",1;""min"",0;""color1"",""#f9cb9c""}))"),"")</f>
        <v/>
      </c>
      <c r="W18" s="19"/>
      <c r="X18" s="54" t="str">
        <f>IFERROR(__xludf.DUMMYFUNCTION("IFERROR(SPARKLINE(X19,{""charttype"",""bar"";""max"",1;""min"",0;""color1"",""#ea9999""}))"),"")</f>
        <v/>
      </c>
      <c r="AA18" s="19"/>
      <c r="AB18" s="54" t="str">
        <f>IFERROR(__xludf.DUMMYFUNCTION("IFERROR(SPARKLINE(AB19,{""charttype"",""bar"";""max"",1;""min"",0;""color1"",""#ea9999""}))"),"")</f>
        <v/>
      </c>
      <c r="AE18" s="19"/>
      <c r="AF18" s="19"/>
      <c r="AG18" s="19"/>
      <c r="AH18" s="19"/>
      <c r="AI18" s="17"/>
    </row>
    <row r="19">
      <c r="A19" s="17"/>
      <c r="B19" s="55" t="s">
        <v>38</v>
      </c>
      <c r="F19" s="55" t="s">
        <v>39</v>
      </c>
      <c r="J19" s="56">
        <f>Helper!E21</f>
        <v>0.4621212121</v>
      </c>
      <c r="K19" s="36"/>
      <c r="L19" s="37">
        <f>L14/N19</f>
        <v>0</v>
      </c>
      <c r="M19" s="38"/>
      <c r="N19" s="39">
        <f>B21</f>
        <v>264</v>
      </c>
      <c r="O19" s="19"/>
      <c r="P19" s="37">
        <f>P14/R19</f>
        <v>0.4621212121</v>
      </c>
      <c r="Q19" s="38"/>
      <c r="R19" s="39">
        <f>B21</f>
        <v>264</v>
      </c>
      <c r="S19" s="19"/>
      <c r="T19" s="37">
        <f>T14/V19</f>
        <v>0.09836065574</v>
      </c>
      <c r="U19" s="38"/>
      <c r="V19" s="39">
        <f>F21</f>
        <v>122</v>
      </c>
      <c r="W19" s="19"/>
      <c r="X19" s="37">
        <f>X14/Z19</f>
        <v>0.7575757576</v>
      </c>
      <c r="Y19" s="38"/>
      <c r="Z19" s="39">
        <f>B21</f>
        <v>264</v>
      </c>
      <c r="AA19" s="19"/>
      <c r="AB19" s="37">
        <f>AB14/AD19</f>
        <v>0.01515151515</v>
      </c>
      <c r="AC19" s="38"/>
      <c r="AD19" s="39">
        <f>B21</f>
        <v>264</v>
      </c>
      <c r="AE19" s="19"/>
      <c r="AF19" s="19"/>
      <c r="AG19" s="19"/>
      <c r="AH19" s="19"/>
      <c r="AI19" s="17"/>
    </row>
    <row r="20">
      <c r="A20" s="17"/>
      <c r="J20" s="48"/>
      <c r="K20" s="24"/>
      <c r="L20" s="41">
        <v>0.0</v>
      </c>
      <c r="M20" s="42"/>
      <c r="N20" s="43" t="s">
        <v>40</v>
      </c>
      <c r="O20" s="19"/>
      <c r="P20" s="44">
        <f>Helper!K14</f>
        <v>264</v>
      </c>
      <c r="Q20" s="42"/>
      <c r="R20" s="43" t="s">
        <v>41</v>
      </c>
      <c r="S20" s="19"/>
      <c r="T20" s="44">
        <f>Helper!K26</f>
        <v>103</v>
      </c>
      <c r="U20" s="42"/>
      <c r="V20" s="45" t="str">
        <f>Helper!J26</f>
        <v>Paid</v>
      </c>
      <c r="W20" s="19"/>
      <c r="X20" s="44">
        <f>Helper!N42</f>
        <v>37</v>
      </c>
      <c r="Y20" s="42"/>
      <c r="Z20" s="45" t="str">
        <f>Helper!M42</f>
        <v>Goverment</v>
      </c>
      <c r="AA20" s="19"/>
      <c r="AB20" s="17"/>
      <c r="AC20" s="17"/>
      <c r="AD20" s="17"/>
      <c r="AE20" s="19"/>
      <c r="AF20" s="19"/>
      <c r="AG20" s="19"/>
      <c r="AH20" s="19"/>
      <c r="AI20" s="17"/>
    </row>
    <row r="21">
      <c r="A21" s="17"/>
      <c r="B21" s="57">
        <f>Helper!K47</f>
        <v>264</v>
      </c>
      <c r="F21" s="57">
        <f>Helper!K70</f>
        <v>122</v>
      </c>
      <c r="J21" s="48"/>
      <c r="K21" s="24"/>
      <c r="O21" s="19"/>
      <c r="S21" s="19"/>
      <c r="W21" s="19"/>
      <c r="AA21" s="19"/>
      <c r="AB21" s="58"/>
      <c r="AC21" s="42"/>
      <c r="AD21" s="59"/>
      <c r="AE21" s="19"/>
      <c r="AF21" s="19"/>
      <c r="AG21" s="19"/>
      <c r="AH21" s="19"/>
      <c r="AI21" s="17"/>
    </row>
    <row r="22">
      <c r="A22" s="17"/>
      <c r="J22" s="48"/>
      <c r="K22" s="24"/>
      <c r="N22" s="33"/>
      <c r="O22" s="19"/>
      <c r="R22" s="33"/>
      <c r="S22" s="19"/>
      <c r="V22" s="33" t="s">
        <v>42</v>
      </c>
      <c r="W22" s="19"/>
      <c r="Z22" s="33"/>
      <c r="AA22" s="19"/>
      <c r="AE22" s="19"/>
      <c r="AF22" s="19"/>
      <c r="AG22" s="19"/>
      <c r="AH22" s="19"/>
      <c r="AI22" s="17"/>
    </row>
    <row r="23">
      <c r="A23" s="17"/>
      <c r="J23" s="48"/>
      <c r="K23" s="24"/>
      <c r="O23" s="19"/>
      <c r="S23" s="19"/>
      <c r="W23" s="19"/>
      <c r="AA23" s="19"/>
      <c r="AD23" s="60"/>
      <c r="AE23" s="19"/>
      <c r="AF23" s="19"/>
      <c r="AG23" s="19"/>
      <c r="AH23" s="19"/>
      <c r="AI23" s="17"/>
    </row>
    <row r="24">
      <c r="A24" s="17"/>
      <c r="J24" s="48"/>
      <c r="K24" s="34"/>
      <c r="L24" s="35" t="str">
        <f>IFERROR(__xludf.DUMMYFUNCTION("IFERROR(SPARKLINE(L25,{""charttype"",""bar"";""max"",1;""min"",0;""color1"",""#f9cb9c""}))"),"")</f>
        <v/>
      </c>
      <c r="O24" s="19"/>
      <c r="P24" s="35" t="str">
        <f>IFERROR(__xludf.DUMMYFUNCTION("IFERROR(SPARKLINE(P25,{""charttype"",""bar"";""max"",1;""min"",0;""color1"",""#f9cb9c""}))"),"")</f>
        <v/>
      </c>
      <c r="S24" s="19"/>
      <c r="T24" s="35" t="str">
        <f>IFERROR(__xludf.DUMMYFUNCTION("IFERROR(SPARKLINE(T25,{""charttype"",""bar"";""max"",1;""min"",0;""color1"",""#b6d7a8""}))"),"")</f>
        <v/>
      </c>
      <c r="W24" s="19"/>
      <c r="X24" s="35" t="str">
        <f>IFERROR(__xludf.DUMMYFUNCTION("IFERROR(SPARKLINE(X25,{""charttype"",""bar"";""max"",1;""min"",0;""color1"",""#f89f35""}))"),"")</f>
        <v/>
      </c>
      <c r="AA24" s="19"/>
      <c r="AE24" s="19"/>
      <c r="AF24" s="19"/>
      <c r="AG24" s="19"/>
      <c r="AH24" s="19"/>
      <c r="AI24" s="17"/>
    </row>
    <row r="25">
      <c r="A25" s="17"/>
      <c r="J25" s="48"/>
      <c r="K25" s="36"/>
      <c r="L25" s="37">
        <f>L20/N25</f>
        <v>0</v>
      </c>
      <c r="M25" s="38"/>
      <c r="N25" s="39">
        <f>B21</f>
        <v>264</v>
      </c>
      <c r="O25" s="19"/>
      <c r="P25" s="37">
        <f>P20/R25</f>
        <v>1</v>
      </c>
      <c r="Q25" s="38"/>
      <c r="R25" s="39">
        <f>B21</f>
        <v>264</v>
      </c>
      <c r="S25" s="19"/>
      <c r="T25" s="37">
        <f>T20/V25</f>
        <v>0.8442622951</v>
      </c>
      <c r="U25" s="38"/>
      <c r="V25" s="39">
        <f>F21</f>
        <v>122</v>
      </c>
      <c r="W25" s="19"/>
      <c r="X25" s="37">
        <f>X20/Z25</f>
        <v>0.1401515152</v>
      </c>
      <c r="Y25" s="38"/>
      <c r="Z25" s="39">
        <f>B21</f>
        <v>264</v>
      </c>
      <c r="AA25" s="19"/>
      <c r="AB25" s="34" t="str">
        <f>IFERROR(__xludf.DUMMYFUNCTION("IFERROR(SPARKLINE(AB26,{""charttype"",""bar"";""max"",1;""min"",0;""color1"",""#f89f35""}))"),"")</f>
        <v/>
      </c>
      <c r="AE25" s="19"/>
      <c r="AF25" s="19"/>
      <c r="AG25" s="19"/>
      <c r="AH25" s="19"/>
      <c r="AI25" s="17"/>
    </row>
    <row r="26">
      <c r="A26" s="17"/>
      <c r="B26" s="61" t="s">
        <v>43</v>
      </c>
      <c r="C26" s="61"/>
      <c r="D26" s="61"/>
      <c r="E26" s="61"/>
      <c r="F26" s="61"/>
      <c r="G26" s="61"/>
      <c r="H26" s="61"/>
      <c r="I26" s="61"/>
      <c r="J26" s="48"/>
      <c r="K26" s="24"/>
      <c r="L26" s="44">
        <f>Helper!K47</f>
        <v>264</v>
      </c>
      <c r="M26" s="42"/>
      <c r="N26" s="43" t="s">
        <v>41</v>
      </c>
      <c r="O26" s="19"/>
      <c r="P26" s="41">
        <v>0.0</v>
      </c>
      <c r="Q26" s="42"/>
      <c r="R26" s="43" t="s">
        <v>40</v>
      </c>
      <c r="S26" s="19"/>
      <c r="T26" s="19"/>
      <c r="U26" s="19"/>
      <c r="V26" s="19"/>
      <c r="W26" s="19"/>
      <c r="X26" s="19"/>
      <c r="Y26" s="19"/>
      <c r="Z26" s="19"/>
      <c r="AA26" s="19"/>
      <c r="AB26" s="36"/>
      <c r="AC26" s="17"/>
      <c r="AD26" s="62"/>
      <c r="AE26" s="19"/>
      <c r="AF26" s="19"/>
      <c r="AG26" s="19"/>
      <c r="AH26" s="19"/>
      <c r="AI26" s="17"/>
    </row>
    <row r="27">
      <c r="A27" s="17"/>
      <c r="B27" s="61"/>
      <c r="C27" s="61"/>
      <c r="D27" s="61"/>
      <c r="E27" s="61"/>
      <c r="F27" s="61"/>
      <c r="G27" s="61"/>
      <c r="H27" s="61"/>
      <c r="I27" s="61"/>
      <c r="J27" s="48"/>
      <c r="K27" s="24"/>
      <c r="O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7"/>
    </row>
    <row r="28">
      <c r="A28" s="17"/>
      <c r="B28" s="61"/>
      <c r="C28" s="61"/>
      <c r="D28" s="61"/>
      <c r="E28" s="61"/>
      <c r="F28" s="61"/>
      <c r="G28" s="61"/>
      <c r="H28" s="61"/>
      <c r="I28" s="61"/>
      <c r="J28" s="48"/>
      <c r="K28" s="24"/>
      <c r="N28" s="33" t="s">
        <v>44</v>
      </c>
      <c r="O28" s="19"/>
      <c r="R28" s="33" t="s">
        <v>45</v>
      </c>
      <c r="S28" s="19"/>
      <c r="T28" s="19"/>
      <c r="U28" s="19"/>
      <c r="V28" s="19"/>
      <c r="W28" s="19"/>
      <c r="X28" s="19"/>
      <c r="Y28" s="17"/>
      <c r="Z28" s="19"/>
      <c r="AA28" s="19"/>
      <c r="AB28" s="19"/>
      <c r="AC28" s="19"/>
      <c r="AD28" s="19"/>
      <c r="AE28" s="19"/>
      <c r="AF28" s="19"/>
      <c r="AG28" s="19"/>
      <c r="AH28" s="19"/>
      <c r="AI28" s="17"/>
    </row>
    <row r="29">
      <c r="A29" s="17"/>
      <c r="B29" s="61"/>
      <c r="C29" s="61"/>
      <c r="D29" s="61"/>
      <c r="E29" s="61"/>
      <c r="F29" s="61"/>
      <c r="G29" s="61"/>
      <c r="H29" s="61"/>
      <c r="I29" s="61"/>
      <c r="J29" s="48"/>
      <c r="K29" s="24"/>
      <c r="O29" s="19"/>
      <c r="S29" s="19"/>
      <c r="T29" s="19"/>
      <c r="U29" s="19"/>
      <c r="V29" s="19"/>
      <c r="W29" s="19"/>
      <c r="X29" s="19"/>
      <c r="Y29" s="17"/>
      <c r="Z29" s="19"/>
      <c r="AA29" s="19"/>
      <c r="AB29" s="19"/>
      <c r="AC29" s="19"/>
      <c r="AD29" s="19"/>
      <c r="AE29" s="19"/>
      <c r="AF29" s="19"/>
      <c r="AG29" s="19"/>
      <c r="AH29" s="19"/>
      <c r="AI29" s="17"/>
    </row>
    <row r="30">
      <c r="A30" s="17"/>
      <c r="B30" s="61"/>
      <c r="C30" s="61"/>
      <c r="D30" s="61"/>
      <c r="E30" s="61"/>
      <c r="F30" s="61"/>
      <c r="G30" s="61"/>
      <c r="H30" s="61"/>
      <c r="I30" s="61"/>
      <c r="J30" s="48"/>
      <c r="K30" s="34"/>
      <c r="L30" s="35" t="str">
        <f>IFERROR(__xludf.DUMMYFUNCTION("IFERROR(SPARKLINE(L31,{""charttype"",""bar"";""max"",1;""min"",0;""color1"",""#d7f1cc""}))"),"")</f>
        <v/>
      </c>
      <c r="O30" s="19"/>
      <c r="P30" s="35" t="str">
        <f>IFERROR(__xludf.DUMMYFUNCTION("IFERROR(SPARKLINE(P31,{""charttype"",""bar"";""max"",1;""min"",0;""color1"",""#ffe5ca""}))"),"")</f>
        <v/>
      </c>
      <c r="S30" s="19"/>
      <c r="T30" s="19"/>
      <c r="U30" s="19"/>
      <c r="V30" s="19"/>
      <c r="W30" s="19"/>
      <c r="X30" s="19"/>
      <c r="Y30" s="17"/>
      <c r="Z30" s="19"/>
      <c r="AA30" s="19"/>
      <c r="AB30" s="19"/>
      <c r="AC30" s="19"/>
      <c r="AD30" s="19"/>
      <c r="AE30" s="19"/>
      <c r="AF30" s="19"/>
      <c r="AG30" s="19"/>
      <c r="AH30" s="19"/>
      <c r="AI30" s="17"/>
    </row>
    <row r="31">
      <c r="A31" s="17"/>
      <c r="B31" s="61"/>
      <c r="C31" s="61"/>
      <c r="D31" s="61"/>
      <c r="E31" s="61"/>
      <c r="F31" s="61"/>
      <c r="G31" s="61"/>
      <c r="H31" s="61"/>
      <c r="I31" s="61"/>
      <c r="J31" s="48"/>
      <c r="K31" s="36"/>
      <c r="L31" s="37">
        <f>L26/N31</f>
        <v>1</v>
      </c>
      <c r="M31" s="38"/>
      <c r="N31" s="39">
        <f>B21</f>
        <v>264</v>
      </c>
      <c r="O31" s="19"/>
      <c r="P31" s="37">
        <f>P26/R31</f>
        <v>0</v>
      </c>
      <c r="Q31" s="38"/>
      <c r="R31" s="39">
        <f>B21</f>
        <v>264</v>
      </c>
      <c r="S31" s="19"/>
      <c r="T31" s="19"/>
      <c r="U31" s="19"/>
      <c r="V31" s="19"/>
      <c r="W31" s="19"/>
      <c r="X31" s="19"/>
      <c r="Y31" s="17"/>
      <c r="Z31" s="19"/>
      <c r="AA31" s="19"/>
      <c r="AB31" s="19"/>
      <c r="AC31" s="19"/>
      <c r="AD31" s="19"/>
      <c r="AE31" s="19"/>
      <c r="AF31" s="19"/>
      <c r="AG31" s="19"/>
      <c r="AH31" s="19"/>
      <c r="AI31" s="17"/>
    </row>
    <row r="32">
      <c r="A32" s="17"/>
      <c r="B32" s="61"/>
      <c r="C32" s="61"/>
      <c r="D32" s="61"/>
      <c r="E32" s="61"/>
      <c r="F32" s="61"/>
      <c r="G32" s="61"/>
      <c r="H32" s="61"/>
      <c r="I32" s="61"/>
      <c r="J32" s="48"/>
      <c r="K32" s="24"/>
      <c r="L32" s="44">
        <f>Helper!K46</f>
        <v>122</v>
      </c>
      <c r="M32" s="42"/>
      <c r="N32" s="43" t="s">
        <v>46</v>
      </c>
      <c r="O32" s="19"/>
      <c r="P32" s="41">
        <v>0.0</v>
      </c>
      <c r="Q32" s="42"/>
      <c r="R32" s="45"/>
      <c r="S32" s="19"/>
      <c r="T32" s="19"/>
      <c r="U32" s="19"/>
      <c r="V32" s="19"/>
      <c r="W32" s="19"/>
      <c r="X32" s="19"/>
      <c r="Y32" s="17"/>
      <c r="Z32" s="19"/>
      <c r="AA32" s="19"/>
      <c r="AB32" s="19"/>
      <c r="AC32" s="19"/>
      <c r="AD32" s="19"/>
      <c r="AE32" s="19"/>
      <c r="AF32" s="19"/>
      <c r="AG32" s="19"/>
      <c r="AH32" s="19"/>
      <c r="AI32" s="17"/>
    </row>
    <row r="33">
      <c r="A33" s="17"/>
      <c r="B33" s="61"/>
      <c r="C33" s="61"/>
      <c r="D33" s="61"/>
      <c r="E33" s="61"/>
      <c r="F33" s="61"/>
      <c r="G33" s="61"/>
      <c r="H33" s="61"/>
      <c r="I33" s="61"/>
      <c r="J33" s="48"/>
      <c r="K33" s="24"/>
      <c r="O33" s="19"/>
      <c r="S33" s="19"/>
      <c r="T33" s="19"/>
      <c r="U33" s="19"/>
      <c r="V33" s="19"/>
      <c r="W33" s="19"/>
      <c r="X33" s="19"/>
      <c r="Y33" s="17"/>
      <c r="Z33" s="19"/>
      <c r="AA33" s="19"/>
      <c r="AB33" s="19"/>
      <c r="AC33" s="19"/>
      <c r="AD33" s="19"/>
      <c r="AE33" s="19"/>
      <c r="AF33" s="19"/>
      <c r="AG33" s="19"/>
      <c r="AH33" s="19"/>
      <c r="AI33" s="17"/>
    </row>
    <row r="34">
      <c r="A34" s="17"/>
      <c r="B34" s="61"/>
      <c r="C34" s="61"/>
      <c r="D34" s="61"/>
      <c r="E34" s="61"/>
      <c r="F34" s="61"/>
      <c r="G34" s="61"/>
      <c r="H34" s="61"/>
      <c r="I34" s="61"/>
      <c r="J34" s="48"/>
      <c r="K34" s="24"/>
      <c r="N34" s="33" t="s">
        <v>47</v>
      </c>
      <c r="O34" s="19"/>
      <c r="R34" s="33" t="s">
        <v>48</v>
      </c>
      <c r="S34" s="19"/>
      <c r="T34" s="19"/>
      <c r="U34" s="19"/>
      <c r="V34" s="19"/>
      <c r="W34" s="19"/>
      <c r="X34" s="19"/>
      <c r="Y34" s="17"/>
      <c r="Z34" s="19"/>
      <c r="AA34" s="19"/>
      <c r="AB34" s="19"/>
      <c r="AC34" s="19"/>
      <c r="AD34" s="19"/>
      <c r="AE34" s="19"/>
      <c r="AF34" s="19"/>
      <c r="AG34" s="19"/>
      <c r="AH34" s="19"/>
      <c r="AI34" s="17"/>
    </row>
    <row r="35">
      <c r="A35" s="17"/>
      <c r="B35" s="61"/>
      <c r="C35" s="61"/>
      <c r="D35" s="61"/>
      <c r="E35" s="61"/>
      <c r="F35" s="61"/>
      <c r="G35" s="61"/>
      <c r="H35" s="61"/>
      <c r="I35" s="61"/>
      <c r="J35" s="48"/>
      <c r="K35" s="24"/>
      <c r="O35" s="19"/>
      <c r="S35" s="19"/>
      <c r="T35" s="19"/>
      <c r="U35" s="19"/>
      <c r="V35" s="19"/>
      <c r="W35" s="19"/>
      <c r="X35" s="19"/>
      <c r="Y35" s="17"/>
      <c r="Z35" s="19"/>
      <c r="AA35" s="19"/>
      <c r="AB35" s="19"/>
      <c r="AC35" s="19"/>
      <c r="AD35" s="19"/>
      <c r="AE35" s="19"/>
      <c r="AF35" s="19"/>
      <c r="AG35" s="19"/>
      <c r="AH35" s="19"/>
      <c r="AI35" s="17"/>
    </row>
    <row r="36">
      <c r="A36" s="17"/>
      <c r="B36" s="61"/>
      <c r="C36" s="61"/>
      <c r="D36" s="61"/>
      <c r="E36" s="61"/>
      <c r="F36" s="61"/>
      <c r="G36" s="61"/>
      <c r="H36" s="61"/>
      <c r="I36" s="61"/>
      <c r="J36" s="48"/>
      <c r="K36" s="34"/>
      <c r="L36" s="35" t="str">
        <f>IFERROR(__xludf.DUMMYFUNCTION("IFERROR(SPARKLINE(L37,{""charttype"",""bar"";""max"",1;""min"",0;""color1"",""#b6d7a8""}))"),"")</f>
        <v/>
      </c>
      <c r="O36" s="19"/>
      <c r="P36" s="35" t="str">
        <f>IFERROR(__xludf.DUMMYFUNCTION("IFERROR(SPARKLINE(P37,{""charttype"",""bar"";""max"",1;""min"",0;""color1"",""#ea9999""}))"),"")</f>
        <v/>
      </c>
      <c r="S36" s="19"/>
      <c r="T36" s="19"/>
      <c r="U36" s="19"/>
      <c r="V36" s="19"/>
      <c r="W36" s="19"/>
      <c r="X36" s="19"/>
      <c r="Y36" s="17"/>
      <c r="Z36" s="19"/>
      <c r="AA36" s="19"/>
      <c r="AB36" s="19"/>
      <c r="AC36" s="19"/>
      <c r="AD36" s="19"/>
      <c r="AE36" s="19"/>
      <c r="AF36" s="19"/>
      <c r="AG36" s="19"/>
      <c r="AH36" s="19"/>
      <c r="AI36" s="17"/>
    </row>
    <row r="37">
      <c r="A37" s="17"/>
      <c r="B37" s="61"/>
      <c r="C37" s="61"/>
      <c r="D37" s="61"/>
      <c r="E37" s="61"/>
      <c r="F37" s="61"/>
      <c r="G37" s="61"/>
      <c r="H37" s="61"/>
      <c r="I37" s="61"/>
      <c r="J37" s="48"/>
      <c r="K37" s="36"/>
      <c r="L37" s="37">
        <f>L32/N37</f>
        <v>0.4621212121</v>
      </c>
      <c r="M37" s="38"/>
      <c r="N37" s="39">
        <f>B21</f>
        <v>264</v>
      </c>
      <c r="O37" s="19"/>
      <c r="P37" s="37">
        <f>P32/R37</f>
        <v>0</v>
      </c>
      <c r="Q37" s="38"/>
      <c r="R37" s="39">
        <f>B21</f>
        <v>264</v>
      </c>
      <c r="S37" s="19"/>
      <c r="T37" s="19"/>
      <c r="U37" s="19"/>
      <c r="V37" s="19"/>
      <c r="W37" s="19"/>
      <c r="X37" s="19"/>
      <c r="Y37" s="17"/>
      <c r="Z37" s="19"/>
      <c r="AA37" s="19"/>
      <c r="AB37" s="19"/>
      <c r="AC37" s="19"/>
      <c r="AD37" s="19"/>
      <c r="AE37" s="19"/>
      <c r="AF37" s="19"/>
      <c r="AG37" s="19"/>
      <c r="AH37" s="19"/>
      <c r="AI37" s="17"/>
    </row>
    <row r="38">
      <c r="A38" s="17"/>
      <c r="B38" s="61"/>
      <c r="C38" s="61"/>
      <c r="D38" s="61"/>
      <c r="E38" s="61"/>
      <c r="F38" s="61"/>
      <c r="G38" s="61"/>
      <c r="H38" s="61"/>
      <c r="I38" s="61"/>
      <c r="J38" s="48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7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7"/>
    </row>
    <row r="39">
      <c r="A39" s="17"/>
      <c r="B39" s="61"/>
      <c r="C39" s="61"/>
      <c r="D39" s="61"/>
      <c r="E39" s="61"/>
      <c r="F39" s="61"/>
      <c r="G39" s="61"/>
      <c r="H39" s="61"/>
      <c r="I39" s="61"/>
      <c r="J39" s="48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7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7"/>
    </row>
    <row r="40">
      <c r="A40" s="17"/>
      <c r="B40" s="61"/>
      <c r="C40" s="61"/>
      <c r="D40" s="61"/>
      <c r="E40" s="61"/>
      <c r="F40" s="61"/>
      <c r="G40" s="61"/>
      <c r="H40" s="61"/>
      <c r="I40" s="61"/>
      <c r="J40" s="4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7"/>
      <c r="V40" s="19"/>
      <c r="W40" s="19"/>
      <c r="X40" s="19"/>
      <c r="Y40" s="19"/>
      <c r="Z40" s="17"/>
      <c r="AA40" s="19"/>
      <c r="AB40" s="19"/>
      <c r="AC40" s="19"/>
      <c r="AD40" s="19"/>
      <c r="AE40" s="19"/>
      <c r="AF40" s="19"/>
      <c r="AG40" s="19"/>
      <c r="AH40" s="19"/>
      <c r="AI40" s="17"/>
    </row>
    <row r="41">
      <c r="A41" s="17"/>
      <c r="B41" s="61"/>
      <c r="C41" s="61"/>
      <c r="D41" s="61"/>
      <c r="E41" s="61"/>
      <c r="F41" s="61"/>
      <c r="G41" s="61"/>
      <c r="H41" s="61"/>
      <c r="I41" s="61"/>
      <c r="J41" s="48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7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7"/>
    </row>
    <row r="42">
      <c r="A42" s="17"/>
      <c r="B42" s="61"/>
      <c r="C42" s="61"/>
      <c r="D42" s="61"/>
      <c r="E42" s="61"/>
      <c r="F42" s="61"/>
      <c r="G42" s="61"/>
      <c r="H42" s="61"/>
      <c r="I42" s="61"/>
      <c r="J42" s="48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7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7"/>
    </row>
    <row r="43">
      <c r="A43" s="17"/>
      <c r="B43" s="63"/>
      <c r="C43" s="63"/>
      <c r="D43" s="63"/>
      <c r="E43" s="63"/>
      <c r="F43" s="38"/>
      <c r="G43" s="63"/>
      <c r="H43" s="63"/>
      <c r="I43" s="63"/>
      <c r="J43" s="48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7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7"/>
    </row>
    <row r="44">
      <c r="A44" s="17"/>
      <c r="B44" s="63"/>
      <c r="C44" s="63"/>
      <c r="D44" s="63"/>
      <c r="E44" s="63"/>
      <c r="F44" s="38"/>
      <c r="G44" s="63"/>
      <c r="H44" s="63"/>
      <c r="I44" s="63"/>
      <c r="J44" s="48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7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7"/>
    </row>
    <row r="45">
      <c r="A45" s="17"/>
      <c r="B45" s="63"/>
      <c r="C45" s="63"/>
      <c r="D45" s="63"/>
      <c r="E45" s="63"/>
      <c r="F45" s="38"/>
      <c r="G45" s="63"/>
      <c r="H45" s="63"/>
      <c r="I45" s="63"/>
      <c r="J45" s="48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7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7"/>
    </row>
    <row r="46">
      <c r="A46" s="17"/>
      <c r="B46" s="63"/>
      <c r="C46" s="63"/>
      <c r="D46" s="63"/>
      <c r="E46" s="63"/>
      <c r="F46" s="38"/>
      <c r="G46" s="63"/>
      <c r="H46" s="63"/>
      <c r="I46" s="63"/>
      <c r="J46" s="48"/>
      <c r="K46" s="19"/>
      <c r="L46" s="19"/>
      <c r="M46" s="19"/>
      <c r="N46" s="19"/>
      <c r="O46" s="48"/>
      <c r="P46" s="48"/>
      <c r="Q46" s="19"/>
      <c r="R46" s="19"/>
      <c r="S46" s="19"/>
      <c r="T46" s="19"/>
      <c r="U46" s="17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7"/>
    </row>
    <row r="47">
      <c r="A47" s="17"/>
      <c r="B47" s="63"/>
      <c r="C47" s="63"/>
      <c r="D47" s="63"/>
      <c r="E47" s="63"/>
      <c r="F47" s="38"/>
      <c r="G47" s="63"/>
      <c r="H47" s="63"/>
      <c r="I47" s="63"/>
      <c r="J47" s="48"/>
      <c r="K47" s="19"/>
      <c r="L47" s="19"/>
      <c r="M47" s="19"/>
      <c r="N47" s="19"/>
      <c r="O47" s="48"/>
      <c r="P47" s="48"/>
      <c r="Q47" s="19"/>
      <c r="R47" s="19"/>
      <c r="S47" s="19"/>
      <c r="T47" s="19"/>
      <c r="U47" s="17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7"/>
    </row>
    <row r="48">
      <c r="A48" s="17"/>
      <c r="B48" s="63"/>
      <c r="C48" s="63"/>
      <c r="D48" s="63"/>
      <c r="E48" s="63"/>
      <c r="F48" s="38"/>
      <c r="G48" s="63"/>
      <c r="H48" s="63"/>
      <c r="I48" s="63"/>
      <c r="J48" s="48"/>
      <c r="K48" s="19"/>
      <c r="L48" s="19"/>
      <c r="M48" s="19"/>
      <c r="N48" s="19"/>
      <c r="O48" s="48"/>
      <c r="P48" s="48"/>
      <c r="Q48" s="19"/>
      <c r="R48" s="19"/>
      <c r="S48" s="19"/>
      <c r="T48" s="19"/>
      <c r="U48" s="17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7"/>
    </row>
    <row r="49">
      <c r="A49" s="17"/>
      <c r="B49" s="63"/>
      <c r="C49" s="63"/>
      <c r="D49" s="63"/>
      <c r="E49" s="63"/>
      <c r="F49" s="38"/>
      <c r="G49" s="63"/>
      <c r="H49" s="63"/>
      <c r="I49" s="63"/>
      <c r="J49" s="48"/>
      <c r="K49" s="48"/>
      <c r="L49" s="48"/>
      <c r="M49" s="48"/>
      <c r="N49" s="48"/>
      <c r="O49" s="48"/>
      <c r="P49" s="48"/>
      <c r="Q49" s="19"/>
      <c r="R49" s="19"/>
      <c r="S49" s="19"/>
      <c r="T49" s="19"/>
      <c r="U49" s="17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7"/>
    </row>
    <row r="50">
      <c r="A50" s="17"/>
      <c r="B50" s="19"/>
      <c r="C50" s="19"/>
      <c r="D50" s="19"/>
      <c r="E50" s="19"/>
      <c r="F50" s="17"/>
      <c r="G50" s="19"/>
      <c r="H50" s="19"/>
      <c r="I50" s="19"/>
      <c r="J50" s="48"/>
      <c r="K50" s="48"/>
      <c r="L50" s="48"/>
      <c r="M50" s="48"/>
      <c r="N50" s="48"/>
      <c r="O50" s="48"/>
      <c r="P50" s="48"/>
      <c r="Q50" s="19"/>
      <c r="R50" s="19"/>
      <c r="S50" s="19"/>
      <c r="T50" s="19"/>
      <c r="U50" s="17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7"/>
    </row>
    <row r="51">
      <c r="A51" s="17"/>
      <c r="B51" s="19"/>
      <c r="C51" s="19"/>
      <c r="D51" s="19"/>
      <c r="E51" s="19"/>
      <c r="F51" s="17"/>
      <c r="G51" s="19"/>
      <c r="H51" s="19"/>
      <c r="I51" s="19"/>
      <c r="J51" s="48"/>
      <c r="K51" s="48"/>
      <c r="L51" s="48"/>
      <c r="M51" s="48"/>
      <c r="N51" s="48"/>
      <c r="O51" s="48"/>
      <c r="P51" s="48"/>
      <c r="Q51" s="19"/>
      <c r="R51" s="19"/>
      <c r="S51" s="19"/>
      <c r="T51" s="19"/>
      <c r="U51" s="17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7"/>
    </row>
    <row r="52">
      <c r="A52" s="17"/>
      <c r="B52" s="19"/>
      <c r="C52" s="19"/>
      <c r="D52" s="19"/>
      <c r="E52" s="19"/>
      <c r="F52" s="17"/>
      <c r="G52" s="19"/>
      <c r="H52" s="19"/>
      <c r="I52" s="19"/>
      <c r="J52" s="48"/>
      <c r="K52" s="48"/>
      <c r="L52" s="48"/>
      <c r="M52" s="48"/>
      <c r="N52" s="48"/>
      <c r="O52" s="17"/>
      <c r="P52" s="17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7"/>
    </row>
    <row r="53">
      <c r="A53" s="17"/>
      <c r="B53" s="19"/>
      <c r="C53" s="19"/>
      <c r="D53" s="19"/>
      <c r="E53" s="19"/>
      <c r="F53" s="17"/>
      <c r="G53" s="19"/>
      <c r="H53" s="19"/>
      <c r="I53" s="19"/>
      <c r="J53" s="48"/>
      <c r="K53" s="48"/>
      <c r="L53" s="48"/>
      <c r="M53" s="48"/>
      <c r="N53" s="48"/>
      <c r="O53" s="48"/>
      <c r="P53" s="48"/>
      <c r="Q53" s="17"/>
      <c r="R53" s="17"/>
      <c r="S53" s="17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7"/>
      <c r="AF53" s="17"/>
      <c r="AG53" s="17"/>
      <c r="AH53" s="17"/>
      <c r="AI53" s="17"/>
    </row>
    <row r="54">
      <c r="A54" s="17"/>
      <c r="B54" s="19"/>
      <c r="C54" s="19"/>
      <c r="D54" s="19"/>
      <c r="E54" s="19"/>
      <c r="F54" s="17"/>
      <c r="G54" s="19"/>
      <c r="H54" s="19"/>
      <c r="I54" s="19"/>
      <c r="J54" s="17"/>
      <c r="K54" s="17"/>
      <c r="L54" s="17"/>
      <c r="M54" s="48"/>
      <c r="N54" s="48"/>
      <c r="O54" s="48"/>
      <c r="P54" s="48"/>
      <c r="Q54" s="17"/>
      <c r="R54" s="17"/>
      <c r="S54" s="17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7"/>
      <c r="AF54" s="17"/>
      <c r="AG54" s="17"/>
      <c r="AH54" s="17"/>
      <c r="AI54" s="17"/>
    </row>
    <row r="55">
      <c r="A55" s="17"/>
      <c r="B55" s="19"/>
      <c r="C55" s="19"/>
      <c r="D55" s="19"/>
      <c r="E55" s="19"/>
      <c r="F55" s="17"/>
      <c r="G55" s="19"/>
      <c r="H55" s="19"/>
      <c r="I55" s="19"/>
      <c r="J55" s="17"/>
      <c r="K55" s="17"/>
      <c r="L55" s="17"/>
      <c r="M55" s="48"/>
      <c r="N55" s="48"/>
      <c r="O55" s="48"/>
      <c r="P55" s="48"/>
      <c r="Q55" s="17"/>
      <c r="R55" s="17"/>
      <c r="S55" s="17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7"/>
      <c r="AF55" s="17"/>
      <c r="AG55" s="17"/>
      <c r="AH55" s="17"/>
      <c r="AI55" s="17"/>
    </row>
    <row r="56">
      <c r="A56" s="17"/>
      <c r="B56" s="19"/>
      <c r="C56" s="19"/>
      <c r="D56" s="19"/>
      <c r="E56" s="19"/>
      <c r="F56" s="17"/>
      <c r="G56" s="19"/>
      <c r="H56" s="19"/>
      <c r="I56" s="19"/>
      <c r="J56" s="17"/>
      <c r="K56" s="17"/>
      <c r="L56" s="17"/>
      <c r="M56" s="48"/>
      <c r="N56" s="48"/>
      <c r="O56" s="48"/>
      <c r="P56" s="48"/>
      <c r="Q56" s="17"/>
      <c r="R56" s="17"/>
      <c r="S56" s="17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64"/>
      <c r="AE56" s="64"/>
      <c r="AF56" s="64"/>
      <c r="AG56" s="64"/>
      <c r="AH56" s="64"/>
      <c r="AI56" s="64"/>
    </row>
    <row r="57">
      <c r="A57" s="17"/>
      <c r="B57" s="65"/>
      <c r="C57" s="65"/>
      <c r="D57" s="65"/>
      <c r="E57" s="65"/>
      <c r="F57" s="17"/>
      <c r="G57" s="19"/>
      <c r="H57" s="19"/>
      <c r="I57" s="19"/>
      <c r="J57" s="17"/>
      <c r="K57" s="66" t="s">
        <v>49</v>
      </c>
      <c r="L57" s="67">
        <f>Helper!N4</f>
        <v>10976511799</v>
      </c>
      <c r="M57" s="42"/>
      <c r="N57" s="42"/>
      <c r="O57" s="42"/>
      <c r="P57" s="48"/>
      <c r="Q57" s="68" t="s">
        <v>50</v>
      </c>
      <c r="V57" s="19"/>
      <c r="W57" s="69"/>
      <c r="Z57" s="19"/>
      <c r="AA57" s="19"/>
      <c r="AB57" s="19"/>
      <c r="AC57" s="19"/>
      <c r="AD57" s="64"/>
      <c r="AE57" s="64"/>
      <c r="AF57" s="64"/>
      <c r="AG57" s="64"/>
      <c r="AH57" s="64"/>
      <c r="AI57" s="64"/>
    </row>
    <row r="58">
      <c r="A58" s="17"/>
      <c r="B58" s="19"/>
      <c r="C58" s="19"/>
      <c r="D58" s="19"/>
      <c r="E58" s="60"/>
      <c r="F58" s="17"/>
      <c r="G58" s="19"/>
      <c r="H58" s="19"/>
      <c r="I58" s="19"/>
      <c r="J58" s="17"/>
      <c r="P58" s="48"/>
      <c r="V58" s="19"/>
      <c r="W58" s="19"/>
      <c r="X58" s="19"/>
      <c r="Y58" s="19"/>
      <c r="Z58" s="19"/>
      <c r="AA58" s="19"/>
      <c r="AB58" s="19"/>
      <c r="AC58" s="19"/>
      <c r="AD58" s="64"/>
      <c r="AE58" s="64"/>
      <c r="AF58" s="64"/>
      <c r="AG58" s="64"/>
      <c r="AH58" s="64"/>
      <c r="AI58" s="64"/>
    </row>
    <row r="59">
      <c r="A59" s="17"/>
      <c r="B59" s="19"/>
      <c r="C59" s="19"/>
      <c r="D59" s="19"/>
      <c r="E59" s="34"/>
      <c r="F59" s="17"/>
      <c r="G59" s="19"/>
      <c r="H59" s="19"/>
      <c r="I59" s="19"/>
      <c r="J59" s="17"/>
      <c r="P59" s="48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64"/>
    </row>
    <row r="60">
      <c r="A60" s="17"/>
      <c r="B60" s="19"/>
      <c r="C60" s="19"/>
      <c r="D60" s="19"/>
      <c r="E60" s="62"/>
      <c r="F60" s="17"/>
      <c r="G60" s="19"/>
      <c r="H60" s="19"/>
      <c r="I60" s="19"/>
      <c r="J60" s="17"/>
      <c r="P60" s="48"/>
      <c r="Q60" s="70" t="str">
        <f>Helper!V3</f>
        <v>P073</v>
      </c>
      <c r="S60" s="71" t="str">
        <f>Helper!T3</f>
        <v>June-2025</v>
      </c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64"/>
    </row>
    <row r="61">
      <c r="A61" s="17"/>
      <c r="B61" s="19"/>
      <c r="C61" s="19"/>
      <c r="D61" s="19"/>
      <c r="E61" s="19"/>
      <c r="F61" s="17"/>
      <c r="G61" s="17"/>
      <c r="H61" s="17"/>
      <c r="I61" s="17"/>
      <c r="J61" s="17"/>
      <c r="P61" s="48"/>
      <c r="Q61" s="72"/>
      <c r="R61" s="72"/>
      <c r="S61" s="72"/>
      <c r="T61" s="72"/>
      <c r="U61" s="72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64"/>
    </row>
    <row r="62">
      <c r="A62" s="17"/>
      <c r="B62" s="19"/>
      <c r="C62" s="19"/>
      <c r="D62" s="19"/>
      <c r="E62" s="19"/>
      <c r="F62" s="17"/>
      <c r="G62" s="17"/>
      <c r="H62" s="17"/>
      <c r="I62" s="17"/>
      <c r="J62" s="17"/>
      <c r="P62" s="48"/>
      <c r="Q62" s="73" t="str">
        <f>Helper!V4</f>
        <v>P175</v>
      </c>
      <c r="R62" s="74"/>
      <c r="S62" s="75">
        <f>Helper!T5</f>
        <v>46042</v>
      </c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76"/>
    </row>
    <row r="63">
      <c r="A63" s="17"/>
      <c r="B63" s="19"/>
      <c r="C63" s="19"/>
      <c r="D63" s="19"/>
      <c r="E63" s="19"/>
      <c r="F63" s="17"/>
      <c r="G63" s="17"/>
      <c r="H63" s="17"/>
      <c r="I63" s="17"/>
      <c r="J63" s="17"/>
      <c r="L63" s="77" t="str">
        <f>Helper!M3</f>
        <v>Direct</v>
      </c>
      <c r="N63" s="78"/>
      <c r="P63" s="48"/>
      <c r="Q63" s="72"/>
      <c r="R63" s="72"/>
      <c r="S63" s="72"/>
      <c r="T63" s="72"/>
      <c r="U63" s="72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76"/>
    </row>
    <row r="64">
      <c r="A64" s="17"/>
      <c r="B64" s="19"/>
      <c r="C64" s="19"/>
      <c r="D64" s="19"/>
      <c r="E64" s="19"/>
      <c r="F64" s="17"/>
      <c r="G64" s="17"/>
      <c r="H64" s="17"/>
      <c r="I64" s="17"/>
      <c r="J64" s="17"/>
      <c r="P64" s="48"/>
      <c r="Q64" s="73" t="str">
        <f>Helper!V5</f>
        <v>P221</v>
      </c>
      <c r="R64" s="74"/>
      <c r="S64" s="79">
        <f>Helper!T7</f>
        <v>46019</v>
      </c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76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80"/>
      <c r="L65" s="38"/>
      <c r="M65" s="38"/>
      <c r="P65" s="48"/>
      <c r="Q65" s="72"/>
      <c r="R65" s="72"/>
      <c r="S65" s="72"/>
      <c r="T65" s="72"/>
      <c r="U65" s="72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76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81" t="s">
        <v>51</v>
      </c>
      <c r="L66" s="82">
        <f>Helper!N8</f>
        <v>132043800</v>
      </c>
      <c r="M66" s="42"/>
      <c r="N66" s="42"/>
      <c r="O66" s="42"/>
      <c r="P66" s="48"/>
      <c r="Q66" s="73" t="str">
        <f>Helper!V6</f>
        <v>P244</v>
      </c>
      <c r="R66" s="74"/>
      <c r="S66" s="79">
        <f>Helper!T9</f>
        <v>46014</v>
      </c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76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P67" s="48"/>
      <c r="Q67" s="72"/>
      <c r="R67" s="72"/>
      <c r="S67" s="72"/>
      <c r="T67" s="72"/>
      <c r="U67" s="72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76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P68" s="48"/>
      <c r="Q68" s="73" t="str">
        <f>Helper!V7</f>
        <v>P247</v>
      </c>
      <c r="R68" s="74"/>
      <c r="S68" s="79">
        <f>Helper!T11</f>
        <v>46009</v>
      </c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76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P69" s="48"/>
      <c r="Q69" s="72"/>
      <c r="R69" s="72"/>
      <c r="S69" s="72"/>
      <c r="T69" s="72"/>
      <c r="U69" s="72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76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P70" s="48"/>
      <c r="Q70" s="73" t="str">
        <f>Helper!V8</f>
        <v>P248</v>
      </c>
      <c r="R70" s="74"/>
      <c r="S70" s="79">
        <f>Helper!T13</f>
        <v>46005</v>
      </c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76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P71" s="48"/>
      <c r="Q71" s="72"/>
      <c r="R71" s="72"/>
      <c r="S71" s="72"/>
      <c r="T71" s="72"/>
      <c r="U71" s="72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76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L72" s="83" t="s">
        <v>52</v>
      </c>
      <c r="N72" s="78"/>
      <c r="P72" s="48"/>
      <c r="Q72" s="73" t="str">
        <f>Helper!V9</f>
        <v>P258</v>
      </c>
      <c r="R72" s="74"/>
      <c r="S72" s="79">
        <f>Helper!T15</f>
        <v>46003</v>
      </c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76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P73" s="48"/>
      <c r="Q73" s="72"/>
      <c r="R73" s="72"/>
      <c r="S73" s="72"/>
      <c r="T73" s="72"/>
      <c r="U73" s="72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76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66"/>
      <c r="L74" s="77"/>
      <c r="M74" s="77"/>
      <c r="P74" s="48"/>
      <c r="Q74" s="73" t="str">
        <f>Helper!V10</f>
        <v>P253</v>
      </c>
      <c r="R74" s="74"/>
      <c r="S74" s="79">
        <f>Helper!T17</f>
        <v>46000</v>
      </c>
      <c r="V74" s="19"/>
      <c r="W74" s="19"/>
      <c r="X74" s="19"/>
      <c r="Y74" s="19"/>
      <c r="AD74" s="19"/>
      <c r="AE74" s="19"/>
      <c r="AF74" s="19"/>
      <c r="AG74" s="19"/>
      <c r="AH74" s="19"/>
      <c r="AI74" s="76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81" t="s">
        <v>53</v>
      </c>
      <c r="L75" s="84"/>
      <c r="M75" s="42"/>
      <c r="N75" s="42"/>
      <c r="O75" s="42"/>
      <c r="P75" s="48"/>
      <c r="Q75" s="72"/>
      <c r="R75" s="72"/>
      <c r="S75" s="72"/>
      <c r="T75" s="72"/>
      <c r="U75" s="72"/>
      <c r="V75" s="19"/>
      <c r="W75" s="19"/>
      <c r="X75" s="19"/>
      <c r="Y75" s="19"/>
      <c r="AD75" s="19"/>
      <c r="AE75" s="19"/>
      <c r="AF75" s="19"/>
      <c r="AG75" s="19"/>
      <c r="AH75" s="19"/>
      <c r="AI75" s="76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P76" s="48"/>
      <c r="Q76" s="73" t="str">
        <f>Helper!V11</f>
        <v>P245</v>
      </c>
      <c r="R76" s="74"/>
      <c r="S76" s="79">
        <f>Helper!T19</f>
        <v>45996</v>
      </c>
      <c r="V76" s="19"/>
      <c r="W76" s="19"/>
      <c r="X76" s="19"/>
      <c r="Y76" s="19"/>
      <c r="AD76" s="19"/>
      <c r="AE76" s="19"/>
      <c r="AF76" s="19"/>
      <c r="AG76" s="19"/>
      <c r="AH76" s="19"/>
      <c r="AI76" s="76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P77" s="48"/>
      <c r="Q77" s="72"/>
      <c r="R77" s="72"/>
      <c r="S77" s="72"/>
      <c r="T77" s="72"/>
      <c r="U77" s="72"/>
      <c r="V77" s="19"/>
      <c r="W77" s="19"/>
      <c r="X77" s="19"/>
      <c r="Y77" s="19"/>
      <c r="AD77" s="19"/>
      <c r="AE77" s="19"/>
      <c r="AF77" s="19"/>
      <c r="AG77" s="19"/>
      <c r="AH77" s="19"/>
      <c r="AI77" s="76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P78" s="48"/>
      <c r="Q78" s="73" t="str">
        <f>Helper!V12</f>
        <v>P256</v>
      </c>
      <c r="R78" s="74"/>
      <c r="S78" s="79">
        <f>Helper!T21</f>
        <v>45994</v>
      </c>
      <c r="V78" s="19"/>
      <c r="W78" s="19"/>
      <c r="X78" s="19"/>
      <c r="Y78" s="19"/>
      <c r="AD78" s="19"/>
      <c r="AE78" s="19"/>
      <c r="AF78" s="19"/>
      <c r="AG78" s="19"/>
      <c r="AH78" s="19"/>
      <c r="AI78" s="76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P79" s="48"/>
      <c r="Q79" s="72"/>
      <c r="R79" s="72"/>
      <c r="S79" s="72"/>
      <c r="T79" s="72"/>
      <c r="U79" s="72"/>
      <c r="V79" s="19"/>
      <c r="W79" s="19"/>
      <c r="X79" s="19"/>
      <c r="Y79" s="19"/>
      <c r="AD79" s="19"/>
      <c r="AE79" s="19"/>
      <c r="AF79" s="19"/>
      <c r="AG79" s="19"/>
      <c r="AH79" s="19"/>
      <c r="AI79" s="76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P80" s="48"/>
      <c r="Q80" s="73" t="str">
        <f>Helper!V14</f>
        <v>P249</v>
      </c>
      <c r="R80" s="74"/>
      <c r="S80" s="79">
        <f>Helper!T23</f>
        <v>45992</v>
      </c>
      <c r="V80" s="19"/>
      <c r="W80" s="19"/>
      <c r="X80" s="19"/>
      <c r="Y80" s="19"/>
      <c r="AD80" s="19"/>
      <c r="AE80" s="19"/>
      <c r="AF80" s="19"/>
      <c r="AG80" s="19"/>
      <c r="AH80" s="19"/>
      <c r="AI80" s="76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P81" s="48"/>
      <c r="Q81" s="72"/>
      <c r="R81" s="72"/>
      <c r="S81" s="72"/>
      <c r="T81" s="72"/>
      <c r="U81" s="72"/>
      <c r="V81" s="19"/>
      <c r="W81" s="19"/>
      <c r="X81" s="19"/>
      <c r="Y81" s="19"/>
      <c r="AD81" s="19"/>
      <c r="AE81" s="19"/>
      <c r="AF81" s="19"/>
      <c r="AG81" s="19"/>
      <c r="AH81" s="19"/>
      <c r="AI81" s="76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L82" s="85"/>
      <c r="P82" s="48"/>
      <c r="Q82" s="73" t="str">
        <f>Helper!V16</f>
        <v>P234</v>
      </c>
      <c r="R82" s="74"/>
      <c r="S82" s="75">
        <f>Helper!T25</f>
        <v>45990</v>
      </c>
      <c r="V82" s="19"/>
      <c r="W82" s="19"/>
      <c r="X82" s="19"/>
      <c r="Y82" s="19"/>
      <c r="AD82" s="19"/>
      <c r="AE82" s="19"/>
      <c r="AF82" s="19"/>
      <c r="AG82" s="19"/>
      <c r="AH82" s="19"/>
      <c r="AI82" s="76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P83" s="48"/>
      <c r="Q83" s="72"/>
      <c r="R83" s="72"/>
      <c r="S83" s="72"/>
      <c r="T83" s="72"/>
      <c r="U83" s="72"/>
      <c r="V83" s="19"/>
      <c r="W83" s="19"/>
      <c r="X83" s="19"/>
      <c r="Y83" s="19"/>
      <c r="AD83" s="19"/>
      <c r="AE83" s="19"/>
      <c r="AF83" s="19"/>
      <c r="AG83" s="19"/>
      <c r="AH83" s="19"/>
      <c r="AI83" s="76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63"/>
      <c r="L84" s="63"/>
      <c r="M84" s="63"/>
      <c r="N84" s="63"/>
      <c r="P84" s="48"/>
      <c r="Q84" s="73" t="str">
        <f>Helper!V18</f>
        <v>P224</v>
      </c>
      <c r="R84" s="74"/>
      <c r="S84" s="79">
        <f>Helper!T27</f>
        <v>45988</v>
      </c>
      <c r="V84" s="19"/>
      <c r="W84" s="19"/>
      <c r="X84" s="19"/>
      <c r="Y84" s="19"/>
      <c r="AD84" s="19"/>
      <c r="AE84" s="19"/>
      <c r="AF84" s="19"/>
      <c r="AG84" s="19"/>
      <c r="AH84" s="19"/>
      <c r="AI84" s="76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48"/>
      <c r="N85" s="48"/>
      <c r="O85" s="48"/>
      <c r="P85" s="48"/>
      <c r="Q85" s="72"/>
      <c r="R85" s="72"/>
      <c r="S85" s="72"/>
      <c r="T85" s="72"/>
      <c r="U85" s="72"/>
      <c r="V85" s="17"/>
      <c r="W85" s="19"/>
      <c r="X85" s="19"/>
      <c r="Y85" s="19"/>
      <c r="AD85" s="19"/>
      <c r="AE85" s="19"/>
      <c r="AF85" s="19"/>
      <c r="AG85" s="19"/>
      <c r="AH85" s="19"/>
      <c r="AI85" s="76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48"/>
      <c r="N86" s="48"/>
      <c r="O86" s="48"/>
      <c r="P86" s="48"/>
      <c r="Q86" s="86"/>
      <c r="S86" s="76"/>
      <c r="V86" s="17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76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48"/>
      <c r="N87" s="48"/>
      <c r="O87" s="48"/>
      <c r="P87" s="48"/>
      <c r="V87" s="17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48"/>
      <c r="N88" s="48"/>
      <c r="O88" s="48"/>
      <c r="P88" s="48"/>
      <c r="Q88" s="86"/>
      <c r="S88" s="76"/>
      <c r="V88" s="17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48"/>
      <c r="N89" s="48"/>
      <c r="O89" s="48"/>
      <c r="P89" s="48"/>
      <c r="V89" s="17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48"/>
      <c r="N90" s="48"/>
      <c r="O90" s="48"/>
      <c r="P90" s="48"/>
      <c r="Q90" s="17"/>
      <c r="R90" s="17"/>
      <c r="S90" s="17"/>
      <c r="T90" s="48"/>
      <c r="U90" s="17"/>
      <c r="V90" s="17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48"/>
      <c r="N91" s="48"/>
      <c r="O91" s="48"/>
      <c r="P91" s="48"/>
      <c r="Q91" s="17"/>
      <c r="R91" s="17"/>
      <c r="S91" s="17"/>
      <c r="T91" s="48"/>
      <c r="U91" s="17"/>
      <c r="V91" s="17"/>
      <c r="W91" s="19"/>
      <c r="X91" s="19"/>
      <c r="Y91" s="19"/>
      <c r="Z91" s="19"/>
      <c r="AA91" s="19"/>
      <c r="AB91" s="19"/>
      <c r="AC91" s="19"/>
      <c r="AD91" s="19"/>
      <c r="AE91" s="17"/>
      <c r="AF91" s="17"/>
      <c r="AG91" s="17"/>
      <c r="AH91" s="17"/>
      <c r="AI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48"/>
      <c r="N92" s="48"/>
      <c r="O92" s="48"/>
      <c r="P92" s="48"/>
      <c r="Q92" s="17"/>
      <c r="R92" s="17"/>
      <c r="S92" s="17"/>
      <c r="T92" s="48"/>
      <c r="U92" s="17"/>
      <c r="V92" s="17"/>
      <c r="W92" s="19"/>
      <c r="X92" s="19"/>
      <c r="Y92" s="19"/>
      <c r="Z92" s="19"/>
      <c r="AA92" s="19"/>
      <c r="AB92" s="19"/>
      <c r="AC92" s="19"/>
      <c r="AD92" s="19"/>
      <c r="AE92" s="17"/>
      <c r="AF92" s="17"/>
      <c r="AG92" s="17"/>
      <c r="AH92" s="17"/>
      <c r="AI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48"/>
      <c r="N93" s="48"/>
      <c r="O93" s="48"/>
      <c r="P93" s="48"/>
      <c r="Q93" s="17"/>
      <c r="R93" s="17"/>
      <c r="S93" s="17"/>
      <c r="T93" s="48"/>
      <c r="U93" s="17"/>
      <c r="V93" s="17"/>
      <c r="W93" s="19"/>
      <c r="X93" s="19"/>
      <c r="Y93" s="19"/>
      <c r="Z93" s="19"/>
      <c r="AA93" s="19"/>
      <c r="AB93" s="19"/>
      <c r="AC93" s="19"/>
      <c r="AD93" s="19"/>
      <c r="AE93" s="17"/>
      <c r="AF93" s="17"/>
      <c r="AG93" s="17"/>
      <c r="AH93" s="17"/>
      <c r="AI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48"/>
      <c r="N94" s="48"/>
      <c r="O94" s="48"/>
      <c r="P94" s="48"/>
      <c r="Q94" s="17"/>
      <c r="R94" s="17"/>
      <c r="S94" s="17"/>
      <c r="T94" s="48"/>
      <c r="U94" s="17"/>
      <c r="V94" s="17"/>
      <c r="W94" s="19"/>
      <c r="X94" s="19"/>
      <c r="Y94" s="19"/>
      <c r="Z94" s="19"/>
      <c r="AA94" s="19"/>
      <c r="AB94" s="19"/>
      <c r="AC94" s="19"/>
      <c r="AD94" s="19"/>
      <c r="AE94" s="17"/>
      <c r="AF94" s="17"/>
      <c r="AG94" s="17"/>
      <c r="AH94" s="17"/>
      <c r="AI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48"/>
      <c r="N95" s="48"/>
      <c r="O95" s="48"/>
      <c r="P95" s="48"/>
      <c r="Q95" s="17"/>
      <c r="R95" s="19"/>
      <c r="S95" s="19"/>
      <c r="T95" s="19"/>
      <c r="U95" s="19"/>
      <c r="V95" s="17"/>
      <c r="W95" s="19"/>
      <c r="X95" s="19"/>
      <c r="Y95" s="19"/>
      <c r="Z95" s="19"/>
      <c r="AA95" s="19"/>
      <c r="AB95" s="19"/>
      <c r="AC95" s="87"/>
      <c r="AG95" s="17"/>
      <c r="AH95" s="17"/>
      <c r="AI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48"/>
      <c r="N96" s="48"/>
      <c r="O96" s="48"/>
      <c r="P96" s="48"/>
      <c r="Q96" s="17"/>
      <c r="R96" s="19"/>
      <c r="S96" s="19"/>
      <c r="T96" s="19"/>
      <c r="U96" s="19"/>
      <c r="V96" s="17"/>
      <c r="W96" s="19"/>
      <c r="X96" s="19"/>
      <c r="Y96" s="19"/>
      <c r="Z96" s="19"/>
      <c r="AA96" s="19"/>
      <c r="AB96" s="19"/>
      <c r="AG96" s="17"/>
      <c r="AH96" s="17"/>
      <c r="AI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48"/>
      <c r="N97" s="48"/>
      <c r="O97" s="48"/>
      <c r="P97" s="48"/>
      <c r="Q97" s="17"/>
      <c r="R97" s="19"/>
      <c r="S97" s="19"/>
      <c r="T97" s="19"/>
      <c r="U97" s="19"/>
      <c r="V97" s="17"/>
      <c r="W97" s="19"/>
      <c r="X97" s="19"/>
      <c r="Y97" s="19"/>
      <c r="Z97" s="19"/>
      <c r="AA97" s="19"/>
      <c r="AB97" s="19"/>
      <c r="AG97" s="17"/>
      <c r="AH97" s="17"/>
      <c r="AI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48"/>
      <c r="N98" s="48"/>
      <c r="O98" s="48"/>
      <c r="P98" s="48"/>
      <c r="Q98" s="17"/>
      <c r="R98" s="19"/>
      <c r="S98" s="19"/>
      <c r="T98" s="19"/>
      <c r="U98" s="19"/>
      <c r="V98" s="17"/>
      <c r="W98" s="19"/>
      <c r="X98" s="19"/>
      <c r="Y98" s="19"/>
      <c r="Z98" s="19"/>
      <c r="AA98" s="19"/>
      <c r="AB98" s="19"/>
      <c r="AC98" s="20"/>
      <c r="AG98" s="17"/>
      <c r="AH98" s="17"/>
      <c r="AI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48"/>
      <c r="N99" s="48"/>
      <c r="O99" s="48"/>
      <c r="P99" s="48"/>
      <c r="Q99" s="17"/>
      <c r="R99" s="19"/>
      <c r="S99" s="19"/>
      <c r="T99" s="19"/>
      <c r="U99" s="19"/>
      <c r="V99" s="17"/>
      <c r="W99" s="19"/>
      <c r="X99" s="19"/>
      <c r="Y99" s="19"/>
      <c r="Z99" s="19"/>
      <c r="AA99" s="19"/>
      <c r="AB99" s="19"/>
      <c r="AG99" s="17"/>
      <c r="AH99" s="17"/>
      <c r="AI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48"/>
      <c r="N100" s="48"/>
      <c r="O100" s="48"/>
      <c r="P100" s="48"/>
      <c r="Q100" s="17"/>
      <c r="R100" s="19"/>
      <c r="S100" s="19"/>
      <c r="T100" s="19"/>
      <c r="U100" s="19"/>
      <c r="V100" s="17"/>
      <c r="W100" s="19"/>
      <c r="X100" s="19"/>
      <c r="Y100" s="19"/>
      <c r="Z100" s="19"/>
      <c r="AA100" s="19"/>
      <c r="AB100" s="19"/>
      <c r="AG100" s="17"/>
      <c r="AH100" s="17"/>
      <c r="AI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48"/>
      <c r="N101" s="48"/>
      <c r="O101" s="48"/>
      <c r="P101" s="48"/>
      <c r="Q101" s="17"/>
      <c r="R101" s="19"/>
      <c r="S101" s="19"/>
      <c r="T101" s="19"/>
      <c r="U101" s="19"/>
      <c r="V101" s="17"/>
      <c r="W101" s="19"/>
      <c r="X101" s="19"/>
      <c r="Y101" s="19"/>
      <c r="Z101" s="19"/>
      <c r="AA101" s="19"/>
      <c r="AB101" s="19"/>
      <c r="AG101" s="17"/>
      <c r="AH101" s="17"/>
      <c r="AI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48"/>
      <c r="N102" s="48"/>
      <c r="O102" s="48"/>
      <c r="P102" s="48"/>
      <c r="Q102" s="17"/>
      <c r="R102" s="19"/>
      <c r="S102" s="19"/>
      <c r="T102" s="19"/>
      <c r="U102" s="19"/>
      <c r="V102" s="17"/>
      <c r="W102" s="19"/>
      <c r="X102" s="19"/>
      <c r="Y102" s="19"/>
      <c r="Z102" s="19"/>
      <c r="AA102" s="19"/>
      <c r="AB102" s="19"/>
      <c r="AG102" s="17"/>
      <c r="AH102" s="17"/>
      <c r="AI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48"/>
      <c r="N103" s="48"/>
      <c r="O103" s="48"/>
      <c r="P103" s="48"/>
      <c r="Q103" s="17"/>
      <c r="R103" s="19"/>
      <c r="S103" s="19"/>
      <c r="T103" s="19"/>
      <c r="U103" s="19"/>
      <c r="V103" s="17"/>
      <c r="W103" s="17"/>
      <c r="X103" s="17"/>
      <c r="Y103" s="17"/>
      <c r="Z103" s="17"/>
      <c r="AA103" s="19"/>
      <c r="AB103" s="19"/>
      <c r="AG103" s="17"/>
      <c r="AH103" s="17"/>
      <c r="AI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48"/>
      <c r="N104" s="48"/>
      <c r="O104" s="48"/>
      <c r="P104" s="48"/>
      <c r="Q104" s="17"/>
      <c r="R104" s="19"/>
      <c r="S104" s="19"/>
      <c r="T104" s="19"/>
      <c r="U104" s="19"/>
      <c r="V104" s="17"/>
      <c r="W104" s="17"/>
      <c r="X104" s="17"/>
      <c r="Y104" s="17"/>
      <c r="Z104" s="17"/>
      <c r="AA104" s="19"/>
      <c r="AB104" s="19"/>
      <c r="AG104" s="17"/>
      <c r="AH104" s="17"/>
      <c r="AI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48"/>
      <c r="N105" s="48"/>
      <c r="O105" s="48"/>
      <c r="P105" s="48"/>
      <c r="Q105" s="17"/>
      <c r="R105" s="19"/>
      <c r="S105" s="19"/>
      <c r="T105" s="19"/>
      <c r="U105" s="19"/>
      <c r="V105" s="17"/>
      <c r="W105" s="17"/>
      <c r="X105" s="17"/>
      <c r="Y105" s="17"/>
      <c r="Z105" s="17"/>
      <c r="AA105" s="19"/>
      <c r="AB105" s="19"/>
      <c r="AG105" s="17"/>
      <c r="AH105" s="17"/>
      <c r="AI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48"/>
      <c r="N106" s="48"/>
      <c r="O106" s="48"/>
      <c r="P106" s="48"/>
      <c r="Q106" s="17"/>
      <c r="R106" s="19"/>
      <c r="S106" s="19"/>
      <c r="T106" s="19"/>
      <c r="U106" s="19"/>
      <c r="V106" s="17"/>
      <c r="W106" s="17"/>
      <c r="X106" s="17"/>
      <c r="Y106" s="17"/>
      <c r="Z106" s="17"/>
      <c r="AA106" s="19"/>
      <c r="AB106" s="19"/>
      <c r="AG106" s="17"/>
      <c r="AH106" s="17"/>
      <c r="AI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48"/>
      <c r="N107" s="48"/>
      <c r="O107" s="48"/>
      <c r="P107" s="48"/>
      <c r="Q107" s="17"/>
      <c r="R107" s="19"/>
      <c r="S107" s="19"/>
      <c r="T107" s="19"/>
      <c r="U107" s="19"/>
      <c r="V107" s="17"/>
      <c r="W107" s="17"/>
      <c r="X107" s="17"/>
      <c r="Y107" s="17"/>
      <c r="Z107" s="17"/>
      <c r="AA107" s="19"/>
      <c r="AB107" s="19"/>
      <c r="AG107" s="17"/>
      <c r="AH107" s="17"/>
      <c r="AI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48"/>
      <c r="N108" s="48"/>
      <c r="O108" s="48"/>
      <c r="P108" s="48"/>
      <c r="Q108" s="17"/>
      <c r="R108" s="19"/>
      <c r="S108" s="19"/>
      <c r="T108" s="19"/>
      <c r="U108" s="19"/>
      <c r="V108" s="17"/>
      <c r="W108" s="17"/>
      <c r="X108" s="17"/>
      <c r="Y108" s="17"/>
      <c r="Z108" s="17"/>
      <c r="AA108" s="19"/>
      <c r="AB108" s="19"/>
      <c r="AC108" s="88"/>
      <c r="AD108" s="89"/>
      <c r="AG108" s="17"/>
      <c r="AH108" s="17"/>
      <c r="AI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48"/>
      <c r="N109" s="48"/>
      <c r="O109" s="48"/>
      <c r="P109" s="48"/>
      <c r="Q109" s="17"/>
      <c r="R109" s="19"/>
      <c r="S109" s="19"/>
      <c r="T109" s="19"/>
      <c r="U109" s="19"/>
      <c r="V109" s="17"/>
      <c r="W109" s="17"/>
      <c r="X109" s="17"/>
      <c r="Y109" s="17"/>
      <c r="Z109" s="17"/>
      <c r="AA109" s="19"/>
      <c r="AB109" s="19"/>
      <c r="AG109" s="17"/>
      <c r="AH109" s="17"/>
      <c r="AI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48"/>
      <c r="N110" s="48"/>
      <c r="O110" s="48"/>
      <c r="P110" s="48"/>
      <c r="Q110" s="17"/>
      <c r="R110" s="17"/>
      <c r="S110" s="17"/>
      <c r="T110" s="48"/>
      <c r="U110" s="17"/>
      <c r="V110" s="17"/>
      <c r="W110" s="17"/>
      <c r="X110" s="17"/>
      <c r="Y110" s="17"/>
      <c r="Z110" s="17"/>
      <c r="AA110" s="19"/>
      <c r="AB110" s="19"/>
      <c r="AC110" s="19"/>
      <c r="AD110" s="19"/>
      <c r="AE110" s="17"/>
      <c r="AF110" s="17"/>
      <c r="AG110" s="17"/>
      <c r="AH110" s="17"/>
      <c r="AI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48"/>
      <c r="N111" s="48"/>
      <c r="O111" s="48"/>
      <c r="P111" s="48"/>
      <c r="Q111" s="17"/>
      <c r="R111" s="17"/>
      <c r="S111" s="17"/>
      <c r="T111" s="48"/>
      <c r="U111" s="17"/>
      <c r="V111" s="17"/>
      <c r="W111" s="17"/>
      <c r="X111" s="17"/>
      <c r="Y111" s="17"/>
      <c r="Z111" s="17"/>
      <c r="AA111" s="19"/>
      <c r="AB111" s="19"/>
      <c r="AC111" s="19"/>
      <c r="AD111" s="19"/>
      <c r="AE111" s="17"/>
      <c r="AF111" s="17"/>
      <c r="AG111" s="17"/>
      <c r="AH111" s="17"/>
      <c r="AI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48"/>
      <c r="N112" s="48"/>
      <c r="O112" s="48"/>
      <c r="P112" s="48"/>
      <c r="Q112" s="17"/>
      <c r="R112" s="17"/>
      <c r="S112" s="17"/>
      <c r="T112" s="48"/>
      <c r="U112" s="17"/>
      <c r="V112" s="17"/>
      <c r="W112" s="17"/>
      <c r="X112" s="17"/>
      <c r="Y112" s="17"/>
      <c r="Z112" s="17"/>
      <c r="AA112" s="19"/>
      <c r="AB112" s="19"/>
      <c r="AC112" s="19"/>
      <c r="AD112" s="19"/>
      <c r="AE112" s="17"/>
      <c r="AF112" s="17"/>
      <c r="AG112" s="17"/>
      <c r="AH112" s="17"/>
      <c r="AI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48"/>
      <c r="N113" s="48"/>
      <c r="O113" s="48"/>
      <c r="P113" s="48"/>
      <c r="Q113" s="17"/>
      <c r="R113" s="17"/>
      <c r="S113" s="17"/>
      <c r="T113" s="48"/>
      <c r="U113" s="17"/>
      <c r="V113" s="17"/>
      <c r="W113" s="17"/>
      <c r="X113" s="17"/>
      <c r="Y113" s="17"/>
      <c r="Z113" s="17"/>
      <c r="AA113" s="19"/>
      <c r="AB113" s="19"/>
      <c r="AC113" s="19"/>
      <c r="AD113" s="19"/>
      <c r="AE113" s="17"/>
      <c r="AF113" s="17"/>
      <c r="AG113" s="17"/>
      <c r="AH113" s="17"/>
      <c r="AI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48"/>
      <c r="N114" s="48"/>
      <c r="O114" s="48"/>
      <c r="P114" s="48"/>
      <c r="Q114" s="17"/>
      <c r="R114" s="17"/>
      <c r="S114" s="17"/>
      <c r="T114" s="48"/>
      <c r="U114" s="17"/>
      <c r="V114" s="17"/>
      <c r="W114" s="17"/>
      <c r="X114" s="17"/>
      <c r="Y114" s="17"/>
      <c r="Z114" s="17"/>
      <c r="AA114" s="19"/>
      <c r="AB114" s="19"/>
      <c r="AC114" s="19"/>
      <c r="AD114" s="19"/>
      <c r="AE114" s="17"/>
      <c r="AF114" s="17"/>
      <c r="AG114" s="17"/>
      <c r="AH114" s="17"/>
      <c r="AI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48"/>
      <c r="N115" s="48"/>
      <c r="O115" s="48"/>
      <c r="P115" s="48"/>
      <c r="Q115" s="17"/>
      <c r="R115" s="17"/>
      <c r="S115" s="17"/>
      <c r="T115" s="48"/>
      <c r="U115" s="17"/>
      <c r="V115" s="17"/>
      <c r="W115" s="17"/>
      <c r="X115" s="17"/>
      <c r="Y115" s="17"/>
      <c r="Z115" s="17"/>
      <c r="AA115" s="19"/>
      <c r="AB115" s="19"/>
      <c r="AC115" s="19"/>
      <c r="AD115" s="19"/>
      <c r="AE115" s="17"/>
      <c r="AF115" s="17"/>
      <c r="AG115" s="17"/>
      <c r="AH115" s="17"/>
      <c r="AI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48"/>
      <c r="N116" s="48"/>
      <c r="O116" s="48"/>
      <c r="P116" s="48"/>
      <c r="Q116" s="17"/>
      <c r="R116" s="17"/>
      <c r="S116" s="17"/>
      <c r="T116" s="48"/>
      <c r="U116" s="17"/>
      <c r="V116" s="17"/>
      <c r="W116" s="17"/>
      <c r="X116" s="17"/>
      <c r="Y116" s="17"/>
      <c r="Z116" s="17"/>
      <c r="AA116" s="19"/>
      <c r="AB116" s="19"/>
      <c r="AC116" s="19"/>
      <c r="AD116" s="19"/>
      <c r="AE116" s="17"/>
      <c r="AF116" s="17"/>
      <c r="AG116" s="17"/>
      <c r="AH116" s="17"/>
      <c r="AI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48"/>
      <c r="N117" s="48"/>
      <c r="O117" s="48"/>
      <c r="P117" s="48"/>
      <c r="Q117" s="17"/>
      <c r="R117" s="17"/>
      <c r="S117" s="17"/>
      <c r="T117" s="48"/>
      <c r="U117" s="17"/>
      <c r="V117" s="17"/>
      <c r="W117" s="17"/>
      <c r="X117" s="17"/>
      <c r="Y117" s="17"/>
      <c r="Z117" s="17"/>
      <c r="AA117" s="19"/>
      <c r="AB117" s="19"/>
      <c r="AC117" s="19"/>
      <c r="AD117" s="19"/>
      <c r="AE117" s="17"/>
      <c r="AF117" s="17"/>
      <c r="AG117" s="17"/>
      <c r="AH117" s="17"/>
      <c r="AI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48"/>
      <c r="N118" s="48"/>
      <c r="O118" s="48"/>
      <c r="P118" s="48"/>
      <c r="Q118" s="17"/>
      <c r="R118" s="17"/>
      <c r="S118" s="17"/>
      <c r="T118" s="48"/>
      <c r="U118" s="17"/>
      <c r="V118" s="17"/>
      <c r="W118" s="17"/>
      <c r="X118" s="17"/>
      <c r="Y118" s="17"/>
      <c r="Z118" s="17"/>
      <c r="AA118" s="19"/>
      <c r="AB118" s="19"/>
      <c r="AC118" s="19"/>
      <c r="AD118" s="19"/>
      <c r="AE118" s="17"/>
      <c r="AF118" s="17"/>
      <c r="AG118" s="17"/>
      <c r="AH118" s="17"/>
      <c r="AI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48"/>
      <c r="N119" s="48"/>
      <c r="O119" s="48"/>
      <c r="P119" s="48"/>
      <c r="Q119" s="17"/>
      <c r="R119" s="17"/>
      <c r="S119" s="17"/>
      <c r="T119" s="48"/>
      <c r="U119" s="17"/>
      <c r="V119" s="17"/>
      <c r="W119" s="17"/>
      <c r="X119" s="17"/>
      <c r="Y119" s="17"/>
      <c r="Z119" s="17"/>
      <c r="AA119" s="19"/>
      <c r="AB119" s="19"/>
      <c r="AC119" s="19"/>
      <c r="AD119" s="19"/>
      <c r="AE119" s="17"/>
      <c r="AF119" s="17"/>
      <c r="AG119" s="17"/>
      <c r="AH119" s="17"/>
      <c r="AI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48"/>
      <c r="N120" s="48"/>
      <c r="O120" s="48"/>
      <c r="P120" s="48"/>
      <c r="Q120" s="17"/>
      <c r="R120" s="17"/>
      <c r="S120" s="17"/>
      <c r="T120" s="48"/>
      <c r="U120" s="17"/>
      <c r="V120" s="17"/>
      <c r="W120" s="17"/>
      <c r="X120" s="17"/>
      <c r="Y120" s="17"/>
      <c r="Z120" s="17"/>
      <c r="AA120" s="19"/>
      <c r="AB120" s="19"/>
      <c r="AC120" s="19"/>
      <c r="AD120" s="19"/>
      <c r="AE120" s="17"/>
      <c r="AF120" s="17"/>
      <c r="AG120" s="17"/>
      <c r="AH120" s="17"/>
      <c r="AI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48"/>
      <c r="N121" s="48"/>
      <c r="O121" s="48"/>
      <c r="P121" s="48"/>
      <c r="Q121" s="17"/>
      <c r="R121" s="17"/>
      <c r="S121" s="17"/>
      <c r="T121" s="48"/>
      <c r="U121" s="17"/>
      <c r="V121" s="17"/>
      <c r="W121" s="17"/>
      <c r="X121" s="17"/>
      <c r="Y121" s="17"/>
      <c r="Z121" s="17"/>
      <c r="AA121" s="19"/>
      <c r="AB121" s="19"/>
      <c r="AC121" s="19"/>
      <c r="AD121" s="19"/>
      <c r="AE121" s="17"/>
      <c r="AF121" s="17"/>
      <c r="AG121" s="17"/>
      <c r="AH121" s="17"/>
      <c r="AI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48"/>
      <c r="N122" s="48"/>
      <c r="O122" s="48"/>
      <c r="P122" s="48"/>
      <c r="Q122" s="17"/>
      <c r="R122" s="17"/>
      <c r="S122" s="17"/>
      <c r="T122" s="48"/>
      <c r="U122" s="17"/>
      <c r="V122" s="17"/>
      <c r="W122" s="17"/>
      <c r="X122" s="17"/>
      <c r="Y122" s="17"/>
      <c r="Z122" s="17"/>
      <c r="AA122" s="19"/>
      <c r="AB122" s="19"/>
      <c r="AC122" s="19"/>
      <c r="AD122" s="19"/>
      <c r="AE122" s="17"/>
      <c r="AF122" s="17"/>
      <c r="AG122" s="17"/>
      <c r="AH122" s="17"/>
      <c r="AI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48"/>
      <c r="N123" s="48"/>
      <c r="O123" s="48"/>
      <c r="P123" s="48"/>
      <c r="Q123" s="17"/>
      <c r="R123" s="17"/>
      <c r="S123" s="17"/>
      <c r="T123" s="48"/>
      <c r="U123" s="17"/>
      <c r="V123" s="17"/>
      <c r="W123" s="17"/>
      <c r="X123" s="17"/>
      <c r="Y123" s="17"/>
      <c r="Z123" s="17"/>
      <c r="AA123" s="19"/>
      <c r="AB123" s="19"/>
      <c r="AC123" s="19"/>
      <c r="AD123" s="19"/>
      <c r="AE123" s="17"/>
      <c r="AF123" s="17"/>
      <c r="AG123" s="17"/>
      <c r="AH123" s="17"/>
      <c r="AI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48"/>
      <c r="N124" s="48"/>
      <c r="O124" s="48"/>
      <c r="P124" s="48"/>
      <c r="Q124" s="17"/>
      <c r="R124" s="17"/>
      <c r="S124" s="17"/>
      <c r="T124" s="48"/>
      <c r="U124" s="17"/>
      <c r="V124" s="17"/>
      <c r="W124" s="17"/>
      <c r="X124" s="17"/>
      <c r="Y124" s="17"/>
      <c r="Z124" s="17"/>
      <c r="AA124" s="19"/>
      <c r="AB124" s="19"/>
      <c r="AC124" s="19"/>
      <c r="AD124" s="19"/>
      <c r="AE124" s="17"/>
      <c r="AF124" s="17"/>
      <c r="AG124" s="17"/>
      <c r="AH124" s="17"/>
      <c r="AI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48"/>
      <c r="N125" s="48"/>
      <c r="O125" s="48"/>
      <c r="P125" s="48"/>
      <c r="Q125" s="17"/>
      <c r="R125" s="17"/>
      <c r="S125" s="17"/>
      <c r="T125" s="48"/>
      <c r="U125" s="17"/>
      <c r="V125" s="17"/>
      <c r="W125" s="17"/>
      <c r="X125" s="17"/>
      <c r="Y125" s="17"/>
      <c r="Z125" s="17"/>
      <c r="AA125" s="19"/>
      <c r="AB125" s="19"/>
      <c r="AC125" s="19"/>
      <c r="AD125" s="19"/>
      <c r="AE125" s="17"/>
      <c r="AF125" s="17"/>
      <c r="AG125" s="17"/>
      <c r="AH125" s="17"/>
      <c r="AI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48"/>
      <c r="N126" s="48"/>
      <c r="O126" s="48"/>
      <c r="P126" s="48"/>
      <c r="Q126" s="17"/>
      <c r="R126" s="17"/>
      <c r="S126" s="17"/>
      <c r="T126" s="48"/>
      <c r="U126" s="17"/>
      <c r="V126" s="17"/>
      <c r="W126" s="17"/>
      <c r="X126" s="17"/>
      <c r="Y126" s="17"/>
      <c r="Z126" s="17"/>
      <c r="AA126" s="19"/>
      <c r="AB126" s="19"/>
      <c r="AC126" s="19"/>
      <c r="AD126" s="19"/>
      <c r="AE126" s="17"/>
      <c r="AF126" s="17"/>
      <c r="AG126" s="17"/>
      <c r="AH126" s="17"/>
      <c r="AI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48"/>
      <c r="N127" s="48"/>
      <c r="O127" s="48"/>
      <c r="P127" s="48"/>
      <c r="Q127" s="17"/>
      <c r="R127" s="17"/>
      <c r="S127" s="17"/>
      <c r="T127" s="48"/>
      <c r="U127" s="17"/>
      <c r="V127" s="17"/>
      <c r="W127" s="17"/>
      <c r="X127" s="17"/>
      <c r="Y127" s="17"/>
      <c r="Z127" s="17"/>
      <c r="AA127" s="19"/>
      <c r="AB127" s="19"/>
      <c r="AC127" s="19"/>
      <c r="AD127" s="19"/>
      <c r="AE127" s="17"/>
      <c r="AF127" s="17"/>
      <c r="AG127" s="17"/>
      <c r="AH127" s="17"/>
      <c r="AI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48"/>
      <c r="N128" s="48"/>
      <c r="O128" s="48"/>
      <c r="P128" s="48"/>
      <c r="Q128" s="17"/>
      <c r="R128" s="17"/>
      <c r="S128" s="17"/>
      <c r="T128" s="48"/>
      <c r="U128" s="17"/>
      <c r="V128" s="17"/>
      <c r="W128" s="17"/>
      <c r="X128" s="17"/>
      <c r="Y128" s="17"/>
      <c r="Z128" s="17"/>
      <c r="AA128" s="19"/>
      <c r="AB128" s="19"/>
      <c r="AC128" s="19"/>
      <c r="AD128" s="19"/>
      <c r="AE128" s="17"/>
      <c r="AF128" s="17"/>
      <c r="AG128" s="17"/>
      <c r="AH128" s="17"/>
      <c r="AI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48"/>
      <c r="N129" s="48"/>
      <c r="O129" s="48"/>
      <c r="P129" s="48"/>
      <c r="Q129" s="17"/>
      <c r="R129" s="17"/>
      <c r="S129" s="17"/>
      <c r="T129" s="48"/>
      <c r="U129" s="17"/>
      <c r="V129" s="17"/>
      <c r="W129" s="17"/>
      <c r="X129" s="17"/>
      <c r="Y129" s="17"/>
      <c r="Z129" s="17"/>
      <c r="AA129" s="19"/>
      <c r="AB129" s="19"/>
      <c r="AC129" s="19"/>
      <c r="AD129" s="19"/>
      <c r="AE129" s="17"/>
      <c r="AF129" s="17"/>
      <c r="AG129" s="17"/>
      <c r="AH129" s="17"/>
      <c r="AI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48"/>
      <c r="N130" s="48"/>
      <c r="O130" s="48"/>
      <c r="P130" s="48"/>
      <c r="Q130" s="17"/>
      <c r="R130" s="17"/>
      <c r="S130" s="17"/>
      <c r="T130" s="48"/>
      <c r="U130" s="17"/>
      <c r="V130" s="17"/>
      <c r="W130" s="17"/>
      <c r="X130" s="17"/>
      <c r="Y130" s="17"/>
      <c r="Z130" s="17"/>
      <c r="AA130" s="19"/>
      <c r="AB130" s="19"/>
      <c r="AC130" s="19"/>
      <c r="AD130" s="19"/>
      <c r="AE130" s="17"/>
      <c r="AF130" s="17"/>
      <c r="AG130" s="17"/>
      <c r="AH130" s="17"/>
      <c r="AI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48"/>
      <c r="N131" s="48"/>
      <c r="O131" s="48"/>
      <c r="P131" s="48"/>
      <c r="Q131" s="17"/>
      <c r="R131" s="17"/>
      <c r="S131" s="17"/>
      <c r="T131" s="48"/>
      <c r="U131" s="17"/>
      <c r="V131" s="17"/>
      <c r="W131" s="17"/>
      <c r="X131" s="17"/>
      <c r="Y131" s="17"/>
      <c r="Z131" s="17"/>
      <c r="AA131" s="19"/>
      <c r="AB131" s="19"/>
      <c r="AC131" s="19"/>
      <c r="AD131" s="19"/>
      <c r="AE131" s="17"/>
      <c r="AF131" s="17"/>
      <c r="AG131" s="17"/>
      <c r="AH131" s="17"/>
      <c r="AI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48"/>
      <c r="N132" s="48"/>
      <c r="O132" s="48"/>
      <c r="P132" s="48"/>
      <c r="Q132" s="17"/>
      <c r="R132" s="17"/>
      <c r="S132" s="17"/>
      <c r="T132" s="48"/>
      <c r="U132" s="17"/>
      <c r="V132" s="17"/>
      <c r="W132" s="17"/>
      <c r="X132" s="17"/>
      <c r="Y132" s="17"/>
      <c r="Z132" s="17"/>
      <c r="AA132" s="19"/>
      <c r="AB132" s="19"/>
      <c r="AC132" s="19"/>
      <c r="AD132" s="19"/>
      <c r="AE132" s="17"/>
      <c r="AF132" s="17"/>
      <c r="AG132" s="17"/>
      <c r="AH132" s="17"/>
      <c r="AI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48"/>
      <c r="N133" s="48"/>
      <c r="O133" s="48"/>
      <c r="P133" s="48"/>
      <c r="Q133" s="17"/>
      <c r="R133" s="17"/>
      <c r="S133" s="17"/>
      <c r="T133" s="48"/>
      <c r="U133" s="17"/>
      <c r="V133" s="17"/>
      <c r="W133" s="17"/>
      <c r="X133" s="17"/>
      <c r="Y133" s="17"/>
      <c r="Z133" s="17"/>
      <c r="AA133" s="19"/>
      <c r="AB133" s="19"/>
      <c r="AC133" s="19"/>
      <c r="AD133" s="19"/>
      <c r="AE133" s="17"/>
      <c r="AF133" s="17"/>
      <c r="AG133" s="17"/>
      <c r="AH133" s="17"/>
      <c r="AI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48"/>
      <c r="N134" s="48"/>
      <c r="O134" s="48"/>
      <c r="P134" s="48"/>
      <c r="Q134" s="17"/>
      <c r="R134" s="17"/>
      <c r="S134" s="17"/>
      <c r="T134" s="48"/>
      <c r="U134" s="17"/>
      <c r="V134" s="17"/>
      <c r="W134" s="17"/>
      <c r="X134" s="17"/>
      <c r="Y134" s="17"/>
      <c r="Z134" s="17"/>
      <c r="AA134" s="19"/>
      <c r="AB134" s="19"/>
      <c r="AC134" s="19"/>
      <c r="AD134" s="19"/>
      <c r="AE134" s="17"/>
      <c r="AF134" s="17"/>
      <c r="AG134" s="17"/>
      <c r="AH134" s="17"/>
      <c r="AI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48"/>
      <c r="N135" s="48"/>
      <c r="O135" s="48"/>
      <c r="P135" s="48"/>
      <c r="Q135" s="17"/>
      <c r="R135" s="17"/>
      <c r="S135" s="17"/>
      <c r="T135" s="48"/>
      <c r="U135" s="17"/>
      <c r="V135" s="17"/>
      <c r="W135" s="17"/>
      <c r="X135" s="17"/>
      <c r="Y135" s="17"/>
      <c r="Z135" s="17"/>
      <c r="AA135" s="19"/>
      <c r="AB135" s="19"/>
      <c r="AC135" s="19"/>
      <c r="AD135" s="19"/>
      <c r="AE135" s="17"/>
      <c r="AF135" s="17"/>
      <c r="AG135" s="17"/>
      <c r="AH135" s="17"/>
      <c r="AI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48"/>
      <c r="N136" s="48"/>
      <c r="O136" s="48"/>
      <c r="P136" s="48"/>
      <c r="Q136" s="17"/>
      <c r="R136" s="17"/>
      <c r="S136" s="17"/>
      <c r="T136" s="48"/>
      <c r="U136" s="17"/>
      <c r="V136" s="17"/>
      <c r="W136" s="17"/>
      <c r="X136" s="17"/>
      <c r="Y136" s="17"/>
      <c r="Z136" s="17"/>
      <c r="AA136" s="19"/>
      <c r="AB136" s="19"/>
      <c r="AC136" s="19"/>
      <c r="AD136" s="19"/>
      <c r="AE136" s="17"/>
      <c r="AF136" s="17"/>
      <c r="AG136" s="17"/>
      <c r="AH136" s="17"/>
      <c r="AI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48"/>
      <c r="N137" s="48"/>
      <c r="O137" s="48"/>
      <c r="P137" s="48"/>
      <c r="Q137" s="17"/>
      <c r="R137" s="17"/>
      <c r="S137" s="17"/>
      <c r="T137" s="48"/>
      <c r="U137" s="17"/>
      <c r="V137" s="17"/>
      <c r="W137" s="17"/>
      <c r="X137" s="17"/>
      <c r="Y137" s="17"/>
      <c r="Z137" s="17"/>
      <c r="AA137" s="19"/>
      <c r="AB137" s="19"/>
      <c r="AC137" s="19"/>
      <c r="AD137" s="19"/>
      <c r="AE137" s="17"/>
      <c r="AF137" s="17"/>
      <c r="AG137" s="17"/>
      <c r="AH137" s="17"/>
      <c r="AI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48"/>
      <c r="N138" s="48"/>
      <c r="O138" s="48"/>
      <c r="P138" s="48"/>
      <c r="Q138" s="17"/>
      <c r="R138" s="17"/>
      <c r="S138" s="17"/>
      <c r="T138" s="48"/>
      <c r="U138" s="17"/>
      <c r="V138" s="17"/>
      <c r="W138" s="17"/>
      <c r="X138" s="17"/>
      <c r="Y138" s="17"/>
      <c r="Z138" s="17"/>
      <c r="AA138" s="19"/>
      <c r="AB138" s="19"/>
      <c r="AC138" s="19"/>
      <c r="AD138" s="19"/>
      <c r="AE138" s="17"/>
      <c r="AF138" s="17"/>
      <c r="AG138" s="17"/>
      <c r="AH138" s="17"/>
      <c r="AI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48"/>
      <c r="N139" s="48"/>
      <c r="O139" s="48"/>
      <c r="P139" s="48"/>
      <c r="Q139" s="17"/>
      <c r="R139" s="17"/>
      <c r="S139" s="17"/>
      <c r="T139" s="48"/>
      <c r="U139" s="17"/>
      <c r="V139" s="17"/>
      <c r="W139" s="17"/>
      <c r="X139" s="17"/>
      <c r="Y139" s="17"/>
      <c r="Z139" s="17"/>
      <c r="AA139" s="19"/>
      <c r="AB139" s="19"/>
      <c r="AC139" s="19"/>
      <c r="AD139" s="19"/>
      <c r="AE139" s="17"/>
      <c r="AF139" s="17"/>
      <c r="AG139" s="17"/>
      <c r="AH139" s="17"/>
      <c r="AI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48"/>
      <c r="N140" s="48"/>
      <c r="O140" s="48"/>
      <c r="P140" s="48"/>
      <c r="Q140" s="17"/>
      <c r="R140" s="17"/>
      <c r="S140" s="17"/>
      <c r="T140" s="48"/>
      <c r="U140" s="17"/>
      <c r="V140" s="17"/>
      <c r="W140" s="17"/>
      <c r="X140" s="17"/>
      <c r="Y140" s="17"/>
      <c r="Z140" s="17"/>
      <c r="AA140" s="19"/>
      <c r="AB140" s="19"/>
      <c r="AC140" s="19"/>
      <c r="AD140" s="19"/>
      <c r="AE140" s="17"/>
      <c r="AF140" s="17"/>
      <c r="AG140" s="17"/>
      <c r="AH140" s="17"/>
      <c r="AI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48"/>
      <c r="N141" s="48"/>
      <c r="O141" s="48"/>
      <c r="P141" s="48"/>
      <c r="Q141" s="17"/>
      <c r="R141" s="17"/>
      <c r="S141" s="17"/>
      <c r="T141" s="48"/>
      <c r="U141" s="17"/>
      <c r="V141" s="17"/>
      <c r="W141" s="17"/>
      <c r="X141" s="17"/>
      <c r="Y141" s="17"/>
      <c r="Z141" s="17"/>
      <c r="AA141" s="19"/>
      <c r="AB141" s="19"/>
      <c r="AC141" s="19"/>
      <c r="AD141" s="19"/>
      <c r="AE141" s="17"/>
      <c r="AF141" s="17"/>
      <c r="AG141" s="17"/>
      <c r="AH141" s="17"/>
      <c r="AI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48"/>
      <c r="N142" s="48"/>
      <c r="O142" s="48"/>
      <c r="P142" s="48"/>
      <c r="Q142" s="17"/>
      <c r="R142" s="17"/>
      <c r="S142" s="17"/>
      <c r="T142" s="48"/>
      <c r="U142" s="17"/>
      <c r="V142" s="17"/>
      <c r="W142" s="17"/>
      <c r="X142" s="17"/>
      <c r="Y142" s="17"/>
      <c r="Z142" s="17"/>
      <c r="AA142" s="19"/>
      <c r="AB142" s="19"/>
      <c r="AC142" s="19"/>
      <c r="AD142" s="19"/>
      <c r="AE142" s="17"/>
      <c r="AF142" s="17"/>
      <c r="AG142" s="17"/>
      <c r="AH142" s="17"/>
      <c r="AI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48"/>
      <c r="N143" s="48"/>
      <c r="O143" s="48"/>
      <c r="P143" s="48"/>
      <c r="Q143" s="17"/>
      <c r="R143" s="17"/>
      <c r="S143" s="17"/>
      <c r="T143" s="48"/>
      <c r="U143" s="17"/>
      <c r="V143" s="17"/>
      <c r="W143" s="17"/>
      <c r="X143" s="17"/>
      <c r="Y143" s="17"/>
      <c r="Z143" s="17"/>
      <c r="AA143" s="19"/>
      <c r="AB143" s="19"/>
      <c r="AC143" s="19"/>
      <c r="AD143" s="19"/>
      <c r="AE143" s="17"/>
      <c r="AF143" s="17"/>
      <c r="AG143" s="17"/>
      <c r="AH143" s="17"/>
      <c r="AI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48"/>
      <c r="N144" s="48"/>
      <c r="O144" s="48"/>
      <c r="P144" s="48"/>
      <c r="Q144" s="17"/>
      <c r="R144" s="17"/>
      <c r="S144" s="17"/>
      <c r="T144" s="48"/>
      <c r="U144" s="17"/>
      <c r="V144" s="17"/>
      <c r="W144" s="17"/>
      <c r="X144" s="17"/>
      <c r="Y144" s="17"/>
      <c r="Z144" s="17"/>
      <c r="AA144" s="19"/>
      <c r="AB144" s="19"/>
      <c r="AC144" s="19"/>
      <c r="AD144" s="19"/>
      <c r="AE144" s="17"/>
      <c r="AF144" s="17"/>
      <c r="AG144" s="17"/>
      <c r="AH144" s="17"/>
      <c r="AI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48"/>
      <c r="N145" s="48"/>
      <c r="O145" s="48"/>
      <c r="P145" s="48"/>
      <c r="Q145" s="17"/>
      <c r="R145" s="17"/>
      <c r="S145" s="17"/>
      <c r="T145" s="48"/>
      <c r="U145" s="17"/>
      <c r="V145" s="17"/>
      <c r="W145" s="17"/>
      <c r="X145" s="17"/>
      <c r="Y145" s="17"/>
      <c r="Z145" s="17"/>
      <c r="AA145" s="19"/>
      <c r="AB145" s="19"/>
      <c r="AC145" s="19"/>
      <c r="AD145" s="19"/>
      <c r="AE145" s="17"/>
      <c r="AF145" s="17"/>
      <c r="AG145" s="17"/>
      <c r="AH145" s="17"/>
      <c r="AI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48"/>
      <c r="N146" s="48"/>
      <c r="O146" s="48"/>
      <c r="P146" s="48"/>
      <c r="Q146" s="17"/>
      <c r="R146" s="17"/>
      <c r="S146" s="17"/>
      <c r="T146" s="48"/>
      <c r="U146" s="17"/>
      <c r="V146" s="17"/>
      <c r="W146" s="17"/>
      <c r="X146" s="17"/>
      <c r="Y146" s="17"/>
      <c r="Z146" s="17"/>
      <c r="AA146" s="19"/>
      <c r="AB146" s="19"/>
      <c r="AC146" s="19"/>
      <c r="AD146" s="19"/>
      <c r="AE146" s="17"/>
      <c r="AF146" s="17"/>
      <c r="AG146" s="17"/>
      <c r="AH146" s="17"/>
      <c r="AI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48"/>
      <c r="N147" s="48"/>
      <c r="O147" s="48"/>
      <c r="P147" s="48"/>
      <c r="Q147" s="17"/>
      <c r="R147" s="17"/>
      <c r="S147" s="17"/>
      <c r="T147" s="48"/>
      <c r="U147" s="17"/>
      <c r="V147" s="17"/>
      <c r="W147" s="17"/>
      <c r="X147" s="17"/>
      <c r="Y147" s="17"/>
      <c r="Z147" s="17"/>
      <c r="AA147" s="19"/>
      <c r="AB147" s="19"/>
      <c r="AC147" s="19"/>
      <c r="AD147" s="19"/>
      <c r="AE147" s="17"/>
      <c r="AF147" s="17"/>
      <c r="AG147" s="17"/>
      <c r="AH147" s="17"/>
      <c r="AI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48"/>
      <c r="N148" s="48"/>
      <c r="O148" s="48"/>
      <c r="P148" s="48"/>
      <c r="Q148" s="17"/>
      <c r="R148" s="17"/>
      <c r="S148" s="17"/>
      <c r="T148" s="48"/>
      <c r="U148" s="17"/>
      <c r="V148" s="17"/>
      <c r="W148" s="17"/>
      <c r="X148" s="17"/>
      <c r="Y148" s="17"/>
      <c r="Z148" s="17"/>
      <c r="AA148" s="19"/>
      <c r="AB148" s="19"/>
      <c r="AC148" s="19"/>
      <c r="AD148" s="19"/>
      <c r="AE148" s="17"/>
      <c r="AF148" s="17"/>
      <c r="AG148" s="17"/>
      <c r="AH148" s="17"/>
      <c r="AI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48"/>
      <c r="N149" s="48"/>
      <c r="O149" s="48"/>
      <c r="P149" s="48"/>
      <c r="Q149" s="17"/>
      <c r="R149" s="17"/>
      <c r="S149" s="17"/>
      <c r="T149" s="48"/>
      <c r="U149" s="17"/>
      <c r="V149" s="17"/>
      <c r="W149" s="17"/>
      <c r="X149" s="17"/>
      <c r="Y149" s="17"/>
      <c r="Z149" s="17"/>
      <c r="AA149" s="19"/>
      <c r="AB149" s="19"/>
      <c r="AC149" s="19"/>
      <c r="AD149" s="19"/>
      <c r="AE149" s="17"/>
      <c r="AF149" s="17"/>
      <c r="AG149" s="17"/>
      <c r="AH149" s="17"/>
      <c r="AI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48"/>
      <c r="N150" s="48"/>
      <c r="O150" s="48"/>
      <c r="P150" s="48"/>
      <c r="Q150" s="17"/>
      <c r="R150" s="17"/>
      <c r="S150" s="17"/>
      <c r="T150" s="48"/>
      <c r="U150" s="17"/>
      <c r="V150" s="17"/>
      <c r="W150" s="17"/>
      <c r="X150" s="17"/>
      <c r="Y150" s="17"/>
      <c r="Z150" s="17"/>
      <c r="AA150" s="19"/>
      <c r="AB150" s="19"/>
      <c r="AC150" s="19"/>
      <c r="AD150" s="19"/>
      <c r="AE150" s="17"/>
      <c r="AF150" s="17"/>
      <c r="AG150" s="17"/>
      <c r="AH150" s="17"/>
      <c r="AI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48"/>
      <c r="N151" s="48"/>
      <c r="O151" s="48"/>
      <c r="P151" s="48"/>
      <c r="Q151" s="17"/>
      <c r="R151" s="17"/>
      <c r="S151" s="17"/>
      <c r="T151" s="48"/>
      <c r="U151" s="17"/>
      <c r="V151" s="17"/>
      <c r="W151" s="17"/>
      <c r="X151" s="17"/>
      <c r="Y151" s="17"/>
      <c r="Z151" s="17"/>
      <c r="AA151" s="19"/>
      <c r="AB151" s="19"/>
      <c r="AC151" s="19"/>
      <c r="AD151" s="19"/>
      <c r="AE151" s="17"/>
      <c r="AF151" s="17"/>
      <c r="AG151" s="17"/>
      <c r="AH151" s="17"/>
      <c r="AI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48"/>
      <c r="N152" s="48"/>
      <c r="O152" s="48"/>
      <c r="P152" s="48"/>
      <c r="Q152" s="17"/>
      <c r="R152" s="17"/>
      <c r="S152" s="17"/>
      <c r="T152" s="48"/>
      <c r="U152" s="17"/>
      <c r="V152" s="17"/>
      <c r="W152" s="17"/>
      <c r="X152" s="17"/>
      <c r="Y152" s="17"/>
      <c r="Z152" s="17"/>
      <c r="AA152" s="19"/>
      <c r="AB152" s="19"/>
      <c r="AC152" s="19"/>
      <c r="AD152" s="19"/>
      <c r="AE152" s="17"/>
      <c r="AF152" s="17"/>
      <c r="AG152" s="17"/>
      <c r="AH152" s="17"/>
      <c r="AI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48"/>
      <c r="N153" s="48"/>
      <c r="O153" s="48"/>
      <c r="P153" s="48"/>
      <c r="Q153" s="17"/>
      <c r="R153" s="17"/>
      <c r="S153" s="17"/>
      <c r="T153" s="48"/>
      <c r="U153" s="17"/>
      <c r="V153" s="17"/>
      <c r="W153" s="17"/>
      <c r="X153" s="17"/>
      <c r="Y153" s="17"/>
      <c r="Z153" s="17"/>
      <c r="AA153" s="19"/>
      <c r="AB153" s="19"/>
      <c r="AC153" s="19"/>
      <c r="AD153" s="19"/>
      <c r="AE153" s="17"/>
      <c r="AF153" s="17"/>
      <c r="AG153" s="17"/>
      <c r="AH153" s="17"/>
      <c r="AI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48"/>
      <c r="N154" s="48"/>
      <c r="O154" s="48"/>
      <c r="P154" s="48"/>
      <c r="Q154" s="17"/>
      <c r="R154" s="17"/>
      <c r="S154" s="17"/>
      <c r="T154" s="48"/>
      <c r="U154" s="17"/>
      <c r="V154" s="17"/>
      <c r="W154" s="17"/>
      <c r="X154" s="17"/>
      <c r="Y154" s="17"/>
      <c r="Z154" s="17"/>
      <c r="AA154" s="19"/>
      <c r="AB154" s="19"/>
      <c r="AC154" s="19"/>
      <c r="AD154" s="19"/>
      <c r="AE154" s="17"/>
      <c r="AF154" s="17"/>
      <c r="AG154" s="17"/>
      <c r="AH154" s="17"/>
      <c r="AI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48"/>
      <c r="N155" s="48"/>
      <c r="O155" s="48"/>
      <c r="P155" s="48"/>
      <c r="Q155" s="17"/>
      <c r="R155" s="17"/>
      <c r="S155" s="17"/>
      <c r="T155" s="48"/>
      <c r="U155" s="17"/>
      <c r="V155" s="17"/>
      <c r="W155" s="17"/>
      <c r="X155" s="17"/>
      <c r="Y155" s="17"/>
      <c r="Z155" s="17"/>
      <c r="AA155" s="19"/>
      <c r="AB155" s="19"/>
      <c r="AC155" s="19"/>
      <c r="AD155" s="19"/>
      <c r="AE155" s="17"/>
      <c r="AF155" s="17"/>
      <c r="AG155" s="17"/>
      <c r="AH155" s="17"/>
      <c r="AI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48"/>
      <c r="N156" s="48"/>
      <c r="O156" s="48"/>
      <c r="P156" s="48"/>
      <c r="Q156" s="17"/>
      <c r="R156" s="17"/>
      <c r="S156" s="17"/>
      <c r="T156" s="48"/>
      <c r="U156" s="17"/>
      <c r="V156" s="17"/>
      <c r="W156" s="17"/>
      <c r="X156" s="17"/>
      <c r="Y156" s="17"/>
      <c r="Z156" s="17"/>
      <c r="AA156" s="19"/>
      <c r="AB156" s="19"/>
      <c r="AC156" s="19"/>
      <c r="AD156" s="19"/>
      <c r="AE156" s="17"/>
      <c r="AF156" s="17"/>
      <c r="AG156" s="17"/>
      <c r="AH156" s="17"/>
      <c r="AI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48"/>
      <c r="N157" s="48"/>
      <c r="O157" s="48"/>
      <c r="P157" s="48"/>
      <c r="Q157" s="17"/>
      <c r="R157" s="17"/>
      <c r="S157" s="17"/>
      <c r="T157" s="48"/>
      <c r="U157" s="17"/>
      <c r="V157" s="17"/>
      <c r="W157" s="17"/>
      <c r="X157" s="17"/>
      <c r="Y157" s="17"/>
      <c r="Z157" s="17"/>
      <c r="AA157" s="19"/>
      <c r="AB157" s="19"/>
      <c r="AC157" s="19"/>
      <c r="AD157" s="19"/>
      <c r="AE157" s="17"/>
      <c r="AF157" s="17"/>
      <c r="AG157" s="17"/>
      <c r="AH157" s="17"/>
      <c r="AI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48"/>
      <c r="N158" s="48"/>
      <c r="O158" s="48"/>
      <c r="P158" s="48"/>
      <c r="Q158" s="17"/>
      <c r="R158" s="17"/>
      <c r="S158" s="17"/>
      <c r="T158" s="48"/>
      <c r="U158" s="17"/>
      <c r="V158" s="17"/>
      <c r="W158" s="17"/>
      <c r="X158" s="17"/>
      <c r="Y158" s="17"/>
      <c r="Z158" s="17"/>
      <c r="AA158" s="19"/>
      <c r="AB158" s="19"/>
      <c r="AC158" s="19"/>
      <c r="AD158" s="19"/>
      <c r="AE158" s="17"/>
      <c r="AF158" s="17"/>
      <c r="AG158" s="17"/>
      <c r="AH158" s="17"/>
      <c r="AI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48"/>
      <c r="N159" s="48"/>
      <c r="O159" s="48"/>
      <c r="P159" s="48"/>
      <c r="Q159" s="17"/>
      <c r="R159" s="17"/>
      <c r="S159" s="17"/>
      <c r="T159" s="48"/>
      <c r="U159" s="17"/>
      <c r="V159" s="17"/>
      <c r="W159" s="17"/>
      <c r="X159" s="17"/>
      <c r="Y159" s="17"/>
      <c r="Z159" s="17"/>
      <c r="AA159" s="19"/>
      <c r="AB159" s="19"/>
      <c r="AC159" s="19"/>
      <c r="AD159" s="19"/>
      <c r="AE159" s="17"/>
      <c r="AF159" s="17"/>
      <c r="AG159" s="17"/>
      <c r="AH159" s="17"/>
      <c r="AI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48"/>
      <c r="N160" s="48"/>
      <c r="O160" s="48"/>
      <c r="P160" s="48"/>
      <c r="Q160" s="17"/>
      <c r="R160" s="17"/>
      <c r="S160" s="17"/>
      <c r="T160" s="48"/>
      <c r="U160" s="17"/>
      <c r="V160" s="17"/>
      <c r="W160" s="17"/>
      <c r="X160" s="17"/>
      <c r="Y160" s="17"/>
      <c r="Z160" s="17"/>
      <c r="AA160" s="19"/>
      <c r="AB160" s="19"/>
      <c r="AC160" s="19"/>
      <c r="AD160" s="19"/>
      <c r="AE160" s="17"/>
      <c r="AF160" s="17"/>
      <c r="AG160" s="17"/>
      <c r="AH160" s="17"/>
      <c r="AI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48"/>
      <c r="N161" s="48"/>
      <c r="O161" s="48"/>
      <c r="P161" s="48"/>
      <c r="Q161" s="17"/>
      <c r="R161" s="17"/>
      <c r="S161" s="17"/>
      <c r="T161" s="48"/>
      <c r="U161" s="17"/>
      <c r="V161" s="17"/>
      <c r="W161" s="17"/>
      <c r="X161" s="17"/>
      <c r="Y161" s="17"/>
      <c r="Z161" s="17"/>
      <c r="AA161" s="19"/>
      <c r="AB161" s="19"/>
      <c r="AC161" s="19"/>
      <c r="AD161" s="19"/>
      <c r="AE161" s="17"/>
      <c r="AF161" s="17"/>
      <c r="AG161" s="17"/>
      <c r="AH161" s="17"/>
      <c r="AI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48"/>
      <c r="N162" s="48"/>
      <c r="O162" s="48"/>
      <c r="P162" s="48"/>
      <c r="Q162" s="17"/>
      <c r="R162" s="17"/>
      <c r="S162" s="17"/>
      <c r="T162" s="48"/>
      <c r="U162" s="17"/>
      <c r="V162" s="17"/>
      <c r="W162" s="17"/>
      <c r="X162" s="17"/>
      <c r="Y162" s="17"/>
      <c r="Z162" s="17"/>
      <c r="AA162" s="19"/>
      <c r="AB162" s="19"/>
      <c r="AC162" s="19"/>
      <c r="AD162" s="19"/>
      <c r="AE162" s="17"/>
      <c r="AF162" s="17"/>
      <c r="AG162" s="17"/>
      <c r="AH162" s="17"/>
      <c r="AI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48"/>
      <c r="N163" s="48"/>
      <c r="O163" s="48"/>
      <c r="P163" s="48"/>
      <c r="Q163" s="17"/>
      <c r="R163" s="17"/>
      <c r="S163" s="17"/>
      <c r="T163" s="48"/>
      <c r="U163" s="17"/>
      <c r="V163" s="17"/>
      <c r="W163" s="17"/>
      <c r="X163" s="17"/>
      <c r="Y163" s="17"/>
      <c r="Z163" s="17"/>
      <c r="AA163" s="19"/>
      <c r="AB163" s="19"/>
      <c r="AC163" s="19"/>
      <c r="AD163" s="19"/>
      <c r="AE163" s="17"/>
      <c r="AF163" s="17"/>
      <c r="AG163" s="17"/>
      <c r="AH163" s="17"/>
      <c r="AI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48"/>
      <c r="N164" s="48"/>
      <c r="O164" s="48"/>
      <c r="P164" s="48"/>
      <c r="Q164" s="17"/>
      <c r="R164" s="17"/>
      <c r="S164" s="17"/>
      <c r="T164" s="48"/>
      <c r="U164" s="17"/>
      <c r="V164" s="17"/>
      <c r="W164" s="17"/>
      <c r="X164" s="17"/>
      <c r="Y164" s="17"/>
      <c r="Z164" s="17"/>
      <c r="AA164" s="19"/>
      <c r="AB164" s="19"/>
      <c r="AC164" s="19"/>
      <c r="AD164" s="19"/>
      <c r="AE164" s="17"/>
      <c r="AF164" s="17"/>
      <c r="AG164" s="17"/>
      <c r="AH164" s="17"/>
      <c r="AI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48"/>
      <c r="N165" s="48"/>
      <c r="O165" s="48"/>
      <c r="P165" s="48"/>
      <c r="Q165" s="17"/>
      <c r="R165" s="17"/>
      <c r="S165" s="17"/>
      <c r="T165" s="48"/>
      <c r="U165" s="17"/>
      <c r="V165" s="17"/>
      <c r="W165" s="17"/>
      <c r="X165" s="17"/>
      <c r="Y165" s="17"/>
      <c r="Z165" s="17"/>
      <c r="AA165" s="19"/>
      <c r="AB165" s="19"/>
      <c r="AC165" s="19"/>
      <c r="AD165" s="19"/>
      <c r="AE165" s="17"/>
      <c r="AF165" s="17"/>
      <c r="AG165" s="17"/>
      <c r="AH165" s="17"/>
      <c r="AI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48"/>
      <c r="N166" s="48"/>
      <c r="O166" s="48"/>
      <c r="P166" s="48"/>
      <c r="Q166" s="17"/>
      <c r="R166" s="17"/>
      <c r="S166" s="17"/>
      <c r="T166" s="48"/>
      <c r="U166" s="17"/>
      <c r="V166" s="17"/>
      <c r="W166" s="17"/>
      <c r="X166" s="17"/>
      <c r="Y166" s="17"/>
      <c r="Z166" s="17"/>
      <c r="AA166" s="19"/>
      <c r="AB166" s="19"/>
      <c r="AC166" s="19"/>
      <c r="AD166" s="19"/>
      <c r="AE166" s="17"/>
      <c r="AF166" s="17"/>
      <c r="AG166" s="17"/>
      <c r="AH166" s="17"/>
      <c r="AI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48"/>
      <c r="N167" s="48"/>
      <c r="O167" s="48"/>
      <c r="P167" s="48"/>
      <c r="Q167" s="17"/>
      <c r="R167" s="17"/>
      <c r="S167" s="17"/>
      <c r="T167" s="48"/>
      <c r="U167" s="17"/>
      <c r="V167" s="17"/>
      <c r="W167" s="17"/>
      <c r="X167" s="17"/>
      <c r="Y167" s="17"/>
      <c r="Z167" s="17"/>
      <c r="AA167" s="19"/>
      <c r="AB167" s="19"/>
      <c r="AC167" s="19"/>
      <c r="AD167" s="19"/>
      <c r="AE167" s="17"/>
      <c r="AF167" s="17"/>
      <c r="AG167" s="17"/>
      <c r="AH167" s="17"/>
      <c r="AI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48"/>
      <c r="N168" s="48"/>
      <c r="O168" s="48"/>
      <c r="P168" s="48"/>
      <c r="Q168" s="17"/>
      <c r="R168" s="17"/>
      <c r="S168" s="17"/>
      <c r="T168" s="48"/>
      <c r="U168" s="17"/>
      <c r="V168" s="17"/>
      <c r="W168" s="17"/>
      <c r="X168" s="17"/>
      <c r="Y168" s="17"/>
      <c r="Z168" s="17"/>
      <c r="AA168" s="19"/>
      <c r="AB168" s="19"/>
      <c r="AC168" s="19"/>
      <c r="AD168" s="19"/>
      <c r="AE168" s="17"/>
      <c r="AF168" s="17"/>
      <c r="AG168" s="17"/>
      <c r="AH168" s="17"/>
      <c r="AI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48"/>
      <c r="N169" s="48"/>
      <c r="O169" s="48"/>
      <c r="P169" s="48"/>
      <c r="Q169" s="17"/>
      <c r="R169" s="17"/>
      <c r="S169" s="17"/>
      <c r="T169" s="48"/>
      <c r="U169" s="17"/>
      <c r="V169" s="17"/>
      <c r="W169" s="17"/>
      <c r="X169" s="17"/>
      <c r="Y169" s="17"/>
      <c r="Z169" s="17"/>
      <c r="AA169" s="19"/>
      <c r="AB169" s="19"/>
      <c r="AC169" s="19"/>
      <c r="AD169" s="19"/>
      <c r="AE169" s="17"/>
      <c r="AF169" s="17"/>
      <c r="AG169" s="17"/>
      <c r="AH169" s="17"/>
      <c r="AI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48"/>
      <c r="N170" s="48"/>
      <c r="O170" s="48"/>
      <c r="P170" s="48"/>
      <c r="Q170" s="17"/>
      <c r="R170" s="17"/>
      <c r="S170" s="17"/>
      <c r="T170" s="48"/>
      <c r="U170" s="17"/>
      <c r="V170" s="17"/>
      <c r="W170" s="17"/>
      <c r="X170" s="17"/>
      <c r="Y170" s="17"/>
      <c r="Z170" s="17"/>
      <c r="AA170" s="19"/>
      <c r="AB170" s="19"/>
      <c r="AC170" s="19"/>
      <c r="AD170" s="19"/>
      <c r="AE170" s="17"/>
      <c r="AF170" s="17"/>
      <c r="AG170" s="17"/>
      <c r="AH170" s="17"/>
      <c r="AI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48"/>
      <c r="N171" s="48"/>
      <c r="O171" s="48"/>
      <c r="P171" s="48"/>
      <c r="Q171" s="17"/>
      <c r="R171" s="17"/>
      <c r="S171" s="17"/>
      <c r="T171" s="48"/>
      <c r="U171" s="17"/>
      <c r="V171" s="17"/>
      <c r="W171" s="17"/>
      <c r="X171" s="17"/>
      <c r="Y171" s="17"/>
      <c r="Z171" s="17"/>
      <c r="AA171" s="19"/>
      <c r="AB171" s="19"/>
      <c r="AC171" s="19"/>
      <c r="AD171" s="19"/>
      <c r="AE171" s="17"/>
      <c r="AF171" s="17"/>
      <c r="AG171" s="17"/>
      <c r="AH171" s="17"/>
      <c r="AI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48"/>
      <c r="N172" s="48"/>
      <c r="O172" s="48"/>
      <c r="P172" s="48"/>
      <c r="Q172" s="17"/>
      <c r="R172" s="17"/>
      <c r="S172" s="17"/>
      <c r="T172" s="48"/>
      <c r="U172" s="17"/>
      <c r="V172" s="17"/>
      <c r="W172" s="17"/>
      <c r="X172" s="17"/>
      <c r="Y172" s="17"/>
      <c r="Z172" s="17"/>
      <c r="AA172" s="19"/>
      <c r="AB172" s="19"/>
      <c r="AC172" s="19"/>
      <c r="AD172" s="19"/>
      <c r="AE172" s="17"/>
      <c r="AF172" s="17"/>
      <c r="AG172" s="17"/>
      <c r="AH172" s="17"/>
      <c r="AI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48"/>
      <c r="N173" s="48"/>
      <c r="O173" s="48"/>
      <c r="P173" s="48"/>
      <c r="Q173" s="17"/>
      <c r="R173" s="17"/>
      <c r="S173" s="17"/>
      <c r="T173" s="48"/>
      <c r="U173" s="17"/>
      <c r="V173" s="17"/>
      <c r="W173" s="17"/>
      <c r="X173" s="17"/>
      <c r="Y173" s="17"/>
      <c r="Z173" s="17"/>
      <c r="AA173" s="19"/>
      <c r="AB173" s="19"/>
      <c r="AC173" s="19"/>
      <c r="AD173" s="19"/>
      <c r="AE173" s="17"/>
      <c r="AF173" s="17"/>
      <c r="AG173" s="17"/>
      <c r="AH173" s="17"/>
      <c r="AI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48"/>
      <c r="N174" s="48"/>
      <c r="O174" s="48"/>
      <c r="P174" s="48"/>
      <c r="Q174" s="17"/>
      <c r="R174" s="17"/>
      <c r="S174" s="17"/>
      <c r="T174" s="48"/>
      <c r="U174" s="17"/>
      <c r="V174" s="17"/>
      <c r="W174" s="17"/>
      <c r="X174" s="17"/>
      <c r="Y174" s="17"/>
      <c r="Z174" s="17"/>
      <c r="AA174" s="19"/>
      <c r="AB174" s="19"/>
      <c r="AC174" s="19"/>
      <c r="AD174" s="19"/>
      <c r="AE174" s="17"/>
      <c r="AF174" s="17"/>
      <c r="AG174" s="17"/>
      <c r="AH174" s="17"/>
      <c r="AI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48"/>
      <c r="N175" s="48"/>
      <c r="O175" s="48"/>
      <c r="P175" s="48"/>
      <c r="Q175" s="17"/>
      <c r="R175" s="17"/>
      <c r="S175" s="17"/>
      <c r="T175" s="48"/>
      <c r="U175" s="17"/>
      <c r="V175" s="17"/>
      <c r="W175" s="17"/>
      <c r="X175" s="17"/>
      <c r="Y175" s="17"/>
      <c r="Z175" s="17"/>
      <c r="AA175" s="19"/>
      <c r="AB175" s="19"/>
      <c r="AC175" s="19"/>
      <c r="AD175" s="19"/>
      <c r="AE175" s="17"/>
      <c r="AF175" s="17"/>
      <c r="AG175" s="17"/>
      <c r="AH175" s="17"/>
      <c r="AI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48"/>
      <c r="N176" s="48"/>
      <c r="O176" s="48"/>
      <c r="P176" s="48"/>
      <c r="Q176" s="17"/>
      <c r="R176" s="17"/>
      <c r="S176" s="17"/>
      <c r="T176" s="48"/>
      <c r="U176" s="17"/>
      <c r="V176" s="17"/>
      <c r="W176" s="17"/>
      <c r="X176" s="17"/>
      <c r="Y176" s="17"/>
      <c r="Z176" s="17"/>
      <c r="AA176" s="19"/>
      <c r="AB176" s="19"/>
      <c r="AC176" s="19"/>
      <c r="AD176" s="19"/>
      <c r="AE176" s="17"/>
      <c r="AF176" s="17"/>
      <c r="AG176" s="17"/>
      <c r="AH176" s="17"/>
      <c r="AI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48"/>
      <c r="N177" s="48"/>
      <c r="O177" s="48"/>
      <c r="P177" s="48"/>
      <c r="Q177" s="17"/>
      <c r="R177" s="17"/>
      <c r="S177" s="17"/>
      <c r="T177" s="48"/>
      <c r="U177" s="17"/>
      <c r="V177" s="17"/>
      <c r="W177" s="17"/>
      <c r="X177" s="17"/>
      <c r="Y177" s="17"/>
      <c r="Z177" s="17"/>
      <c r="AA177" s="19"/>
      <c r="AB177" s="19"/>
      <c r="AC177" s="19"/>
      <c r="AD177" s="19"/>
      <c r="AE177" s="17"/>
      <c r="AF177" s="17"/>
      <c r="AG177" s="17"/>
      <c r="AH177" s="17"/>
      <c r="AI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48"/>
      <c r="N178" s="48"/>
      <c r="O178" s="48"/>
      <c r="P178" s="48"/>
      <c r="Q178" s="17"/>
      <c r="R178" s="17"/>
      <c r="S178" s="17"/>
      <c r="T178" s="48"/>
      <c r="U178" s="17"/>
      <c r="V178" s="17"/>
      <c r="W178" s="17"/>
      <c r="X178" s="17"/>
      <c r="Y178" s="17"/>
      <c r="Z178" s="17"/>
      <c r="AA178" s="19"/>
      <c r="AB178" s="19"/>
      <c r="AC178" s="19"/>
      <c r="AD178" s="19"/>
      <c r="AE178" s="17"/>
      <c r="AF178" s="17"/>
      <c r="AG178" s="17"/>
      <c r="AH178" s="17"/>
      <c r="AI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48"/>
      <c r="N179" s="48"/>
      <c r="O179" s="48"/>
      <c r="P179" s="48"/>
      <c r="Q179" s="17"/>
      <c r="R179" s="17"/>
      <c r="S179" s="17"/>
      <c r="T179" s="48"/>
      <c r="U179" s="17"/>
      <c r="V179" s="17"/>
      <c r="W179" s="17"/>
      <c r="X179" s="17"/>
      <c r="Y179" s="17"/>
      <c r="Z179" s="17"/>
      <c r="AA179" s="19"/>
      <c r="AB179" s="19"/>
      <c r="AC179" s="19"/>
      <c r="AD179" s="19"/>
      <c r="AE179" s="17"/>
      <c r="AF179" s="17"/>
      <c r="AG179" s="17"/>
      <c r="AH179" s="17"/>
      <c r="AI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48"/>
      <c r="N180" s="48"/>
      <c r="O180" s="48"/>
      <c r="P180" s="48"/>
      <c r="Q180" s="17"/>
      <c r="R180" s="17"/>
      <c r="S180" s="17"/>
      <c r="T180" s="48"/>
      <c r="U180" s="17"/>
      <c r="V180" s="17"/>
      <c r="W180" s="17"/>
      <c r="X180" s="17"/>
      <c r="Y180" s="17"/>
      <c r="Z180" s="17"/>
      <c r="AA180" s="19"/>
      <c r="AB180" s="19"/>
      <c r="AC180" s="19"/>
      <c r="AD180" s="19"/>
      <c r="AE180" s="17"/>
      <c r="AF180" s="17"/>
      <c r="AG180" s="17"/>
      <c r="AH180" s="17"/>
      <c r="AI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48"/>
      <c r="N181" s="48"/>
      <c r="O181" s="48"/>
      <c r="P181" s="48"/>
      <c r="Q181" s="17"/>
      <c r="R181" s="17"/>
      <c r="S181" s="17"/>
      <c r="T181" s="48"/>
      <c r="U181" s="17"/>
      <c r="V181" s="17"/>
      <c r="W181" s="17"/>
      <c r="X181" s="17"/>
      <c r="Y181" s="17"/>
      <c r="Z181" s="17"/>
      <c r="AA181" s="19"/>
      <c r="AB181" s="19"/>
      <c r="AC181" s="19"/>
      <c r="AD181" s="19"/>
      <c r="AE181" s="17"/>
      <c r="AF181" s="17"/>
      <c r="AG181" s="17"/>
      <c r="AH181" s="17"/>
      <c r="AI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48"/>
      <c r="N182" s="48"/>
      <c r="O182" s="48"/>
      <c r="P182" s="48"/>
      <c r="Q182" s="17"/>
      <c r="R182" s="17"/>
      <c r="S182" s="17"/>
      <c r="T182" s="48"/>
      <c r="U182" s="17"/>
      <c r="V182" s="17"/>
      <c r="W182" s="17"/>
      <c r="X182" s="17"/>
      <c r="Y182" s="17"/>
      <c r="Z182" s="17"/>
      <c r="AA182" s="19"/>
      <c r="AB182" s="19"/>
      <c r="AC182" s="19"/>
      <c r="AD182" s="19"/>
      <c r="AE182" s="17"/>
      <c r="AF182" s="17"/>
      <c r="AG182" s="17"/>
      <c r="AH182" s="17"/>
      <c r="AI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48"/>
      <c r="N183" s="48"/>
      <c r="O183" s="48"/>
      <c r="P183" s="48"/>
      <c r="Q183" s="17"/>
      <c r="R183" s="17"/>
      <c r="S183" s="17"/>
      <c r="T183" s="48"/>
      <c r="U183" s="17"/>
      <c r="V183" s="17"/>
      <c r="W183" s="17"/>
      <c r="X183" s="17"/>
      <c r="Y183" s="17"/>
      <c r="Z183" s="17"/>
      <c r="AA183" s="19"/>
      <c r="AB183" s="19"/>
      <c r="AC183" s="19"/>
      <c r="AD183" s="19"/>
      <c r="AE183" s="17"/>
      <c r="AF183" s="17"/>
      <c r="AG183" s="17"/>
      <c r="AH183" s="17"/>
      <c r="AI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48"/>
      <c r="N184" s="48"/>
      <c r="O184" s="48"/>
      <c r="P184" s="48"/>
      <c r="Q184" s="17"/>
      <c r="R184" s="17"/>
      <c r="S184" s="17"/>
      <c r="T184" s="48"/>
      <c r="U184" s="17"/>
      <c r="V184" s="17"/>
      <c r="W184" s="17"/>
      <c r="X184" s="17"/>
      <c r="Y184" s="17"/>
      <c r="Z184" s="17"/>
      <c r="AA184" s="19"/>
      <c r="AB184" s="19"/>
      <c r="AC184" s="19"/>
      <c r="AD184" s="19"/>
      <c r="AE184" s="17"/>
      <c r="AF184" s="17"/>
      <c r="AG184" s="17"/>
      <c r="AH184" s="17"/>
      <c r="AI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48"/>
      <c r="N185" s="48"/>
      <c r="O185" s="48"/>
      <c r="P185" s="48"/>
      <c r="Q185" s="17"/>
      <c r="R185" s="17"/>
      <c r="S185" s="17"/>
      <c r="T185" s="48"/>
      <c r="U185" s="17"/>
      <c r="V185" s="17"/>
      <c r="W185" s="17"/>
      <c r="X185" s="17"/>
      <c r="Y185" s="17"/>
      <c r="Z185" s="17"/>
      <c r="AA185" s="19"/>
      <c r="AB185" s="19"/>
      <c r="AC185" s="19"/>
      <c r="AD185" s="19"/>
      <c r="AE185" s="17"/>
      <c r="AF185" s="17"/>
      <c r="AG185" s="17"/>
      <c r="AH185" s="17"/>
      <c r="AI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48"/>
      <c r="N186" s="48"/>
      <c r="O186" s="48"/>
      <c r="P186" s="48"/>
      <c r="Q186" s="17"/>
      <c r="R186" s="17"/>
      <c r="S186" s="17"/>
      <c r="T186" s="48"/>
      <c r="U186" s="17"/>
      <c r="V186" s="17"/>
      <c r="W186" s="17"/>
      <c r="X186" s="17"/>
      <c r="Y186" s="17"/>
      <c r="Z186" s="17"/>
      <c r="AA186" s="19"/>
      <c r="AB186" s="19"/>
      <c r="AC186" s="19"/>
      <c r="AD186" s="19"/>
      <c r="AE186" s="17"/>
      <c r="AF186" s="17"/>
      <c r="AG186" s="17"/>
      <c r="AH186" s="17"/>
      <c r="AI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48"/>
      <c r="N187" s="48"/>
      <c r="O187" s="48"/>
      <c r="P187" s="48"/>
      <c r="Q187" s="17"/>
      <c r="R187" s="17"/>
      <c r="S187" s="17"/>
      <c r="T187" s="48"/>
      <c r="U187" s="17"/>
      <c r="V187" s="17"/>
      <c r="W187" s="17"/>
      <c r="X187" s="17"/>
      <c r="Y187" s="17"/>
      <c r="Z187" s="17"/>
      <c r="AA187" s="19"/>
      <c r="AB187" s="19"/>
      <c r="AC187" s="19"/>
      <c r="AD187" s="19"/>
      <c r="AE187" s="17"/>
      <c r="AF187" s="17"/>
      <c r="AG187" s="17"/>
      <c r="AH187" s="17"/>
      <c r="AI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48"/>
      <c r="N188" s="48"/>
      <c r="O188" s="48"/>
      <c r="P188" s="48"/>
      <c r="Q188" s="17"/>
      <c r="R188" s="17"/>
      <c r="S188" s="17"/>
      <c r="T188" s="48"/>
      <c r="U188" s="17"/>
      <c r="V188" s="17"/>
      <c r="W188" s="17"/>
      <c r="X188" s="17"/>
      <c r="Y188" s="17"/>
      <c r="Z188" s="17"/>
      <c r="AA188" s="19"/>
      <c r="AB188" s="19"/>
      <c r="AC188" s="19"/>
      <c r="AD188" s="19"/>
      <c r="AE188" s="17"/>
      <c r="AF188" s="17"/>
      <c r="AG188" s="17"/>
      <c r="AH188" s="17"/>
      <c r="AI188" s="17"/>
    </row>
    <row r="189">
      <c r="A189" s="90"/>
      <c r="B189" s="90"/>
      <c r="C189" s="90"/>
      <c r="D189" s="90"/>
      <c r="E189" s="90"/>
      <c r="F189" s="90"/>
      <c r="G189" s="90"/>
      <c r="H189" s="91"/>
      <c r="I189" s="92"/>
      <c r="J189" s="93"/>
      <c r="K189" s="93"/>
      <c r="L189" s="93"/>
      <c r="M189" s="94"/>
      <c r="N189" s="94"/>
      <c r="O189" s="94"/>
      <c r="P189" s="94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5"/>
      <c r="AB189" s="95"/>
      <c r="AC189" s="95"/>
      <c r="AD189" s="95"/>
      <c r="AE189" s="93"/>
      <c r="AF189" s="93"/>
      <c r="AG189" s="93"/>
      <c r="AH189" s="93"/>
      <c r="AI189" s="93"/>
    </row>
    <row r="190">
      <c r="A190" s="96"/>
      <c r="H190" s="97"/>
      <c r="I190" s="98"/>
      <c r="J190" s="99"/>
      <c r="K190" s="99"/>
      <c r="L190" s="99"/>
      <c r="M190" s="100"/>
      <c r="N190" s="100"/>
      <c r="O190" s="100"/>
      <c r="P190" s="100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101"/>
      <c r="AB190" s="101"/>
      <c r="AC190" s="101"/>
      <c r="AD190" s="101"/>
      <c r="AE190" s="99"/>
      <c r="AF190" s="99"/>
      <c r="AG190" s="99"/>
      <c r="AH190" s="99"/>
      <c r="AI190" s="99"/>
    </row>
    <row r="19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100"/>
      <c r="N191" s="100"/>
      <c r="O191" s="100"/>
      <c r="P191" s="100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101"/>
      <c r="AB191" s="101"/>
      <c r="AC191" s="101"/>
      <c r="AD191" s="101"/>
      <c r="AE191" s="99"/>
      <c r="AF191" s="99"/>
      <c r="AG191" s="99"/>
      <c r="AH191" s="99"/>
      <c r="AI191" s="99"/>
    </row>
    <row r="19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100"/>
      <c r="N192" s="100"/>
      <c r="O192" s="100"/>
      <c r="P192" s="100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101"/>
      <c r="AB192" s="101"/>
      <c r="AC192" s="101"/>
      <c r="AD192" s="101"/>
      <c r="AE192" s="99"/>
      <c r="AF192" s="99"/>
      <c r="AG192" s="99"/>
      <c r="AH192" s="99"/>
      <c r="AI192" s="99"/>
    </row>
    <row r="19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100"/>
      <c r="N193" s="100"/>
      <c r="O193" s="100"/>
      <c r="P193" s="100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101"/>
      <c r="AB193" s="101"/>
      <c r="AC193" s="101"/>
      <c r="AD193" s="101"/>
      <c r="AE193" s="99"/>
      <c r="AF193" s="99"/>
      <c r="AG193" s="99"/>
      <c r="AH193" s="99"/>
      <c r="AI193" s="99"/>
    </row>
    <row r="194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100"/>
      <c r="N194" s="100"/>
      <c r="O194" s="100"/>
      <c r="P194" s="100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101"/>
      <c r="AB194" s="101"/>
      <c r="AC194" s="101"/>
      <c r="AD194" s="101"/>
      <c r="AE194" s="99"/>
      <c r="AF194" s="99"/>
      <c r="AG194" s="99"/>
      <c r="AH194" s="99"/>
      <c r="AI194" s="99"/>
    </row>
    <row r="19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100"/>
      <c r="N195" s="100"/>
      <c r="O195" s="100"/>
      <c r="P195" s="100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101"/>
      <c r="AB195" s="101"/>
      <c r="AC195" s="101"/>
      <c r="AD195" s="101"/>
      <c r="AE195" s="99"/>
      <c r="AF195" s="99"/>
      <c r="AG195" s="99"/>
      <c r="AH195" s="99"/>
      <c r="AI195" s="99"/>
    </row>
    <row r="19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100"/>
      <c r="N196" s="100"/>
      <c r="O196" s="100"/>
      <c r="P196" s="100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101"/>
      <c r="AB196" s="101"/>
      <c r="AC196" s="101"/>
      <c r="AD196" s="101"/>
      <c r="AE196" s="99"/>
      <c r="AF196" s="99"/>
      <c r="AG196" s="99"/>
      <c r="AH196" s="99"/>
      <c r="AI196" s="99"/>
    </row>
    <row r="197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100"/>
      <c r="N197" s="100"/>
      <c r="O197" s="100"/>
      <c r="P197" s="100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101"/>
      <c r="AB197" s="101"/>
      <c r="AC197" s="101"/>
      <c r="AD197" s="101"/>
      <c r="AE197" s="99"/>
      <c r="AF197" s="99"/>
      <c r="AG197" s="99"/>
      <c r="AH197" s="99"/>
      <c r="AI197" s="99"/>
    </row>
    <row r="198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100"/>
      <c r="N198" s="100"/>
      <c r="O198" s="100"/>
      <c r="P198" s="100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101"/>
      <c r="AB198" s="101"/>
      <c r="AC198" s="101"/>
      <c r="AD198" s="101"/>
      <c r="AE198" s="99"/>
      <c r="AF198" s="99"/>
      <c r="AG198" s="99"/>
      <c r="AH198" s="99"/>
      <c r="AI198" s="99"/>
    </row>
    <row r="199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100"/>
      <c r="N199" s="100"/>
      <c r="O199" s="100"/>
      <c r="P199" s="100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101"/>
      <c r="AB199" s="101"/>
      <c r="AC199" s="101"/>
      <c r="AD199" s="101"/>
      <c r="AE199" s="99"/>
      <c r="AF199" s="99"/>
      <c r="AG199" s="99"/>
      <c r="AH199" s="99"/>
      <c r="AI199" s="99"/>
    </row>
    <row r="200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100"/>
      <c r="N200" s="100"/>
      <c r="O200" s="100"/>
      <c r="P200" s="100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101"/>
      <c r="AB200" s="101"/>
      <c r="AC200" s="101"/>
      <c r="AD200" s="101"/>
      <c r="AE200" s="99"/>
      <c r="AF200" s="99"/>
      <c r="AG200" s="99"/>
      <c r="AH200" s="99"/>
      <c r="AI200" s="99"/>
    </row>
    <row r="20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100"/>
      <c r="N201" s="100"/>
      <c r="O201" s="100"/>
      <c r="P201" s="100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101"/>
      <c r="AB201" s="101"/>
      <c r="AC201" s="101"/>
      <c r="AD201" s="101"/>
      <c r="AE201" s="99"/>
      <c r="AF201" s="99"/>
      <c r="AG201" s="99"/>
      <c r="AH201" s="99"/>
      <c r="AI201" s="99"/>
    </row>
    <row r="20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100"/>
      <c r="N202" s="100"/>
      <c r="O202" s="100"/>
      <c r="P202" s="100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101"/>
      <c r="AB202" s="101"/>
      <c r="AC202" s="101"/>
      <c r="AD202" s="101"/>
      <c r="AE202" s="99"/>
      <c r="AF202" s="99"/>
      <c r="AG202" s="99"/>
      <c r="AH202" s="99"/>
      <c r="AI202" s="99"/>
    </row>
    <row r="20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100"/>
      <c r="N203" s="100"/>
      <c r="O203" s="100"/>
      <c r="P203" s="100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101"/>
      <c r="AB203" s="101"/>
      <c r="AC203" s="101"/>
      <c r="AD203" s="101"/>
      <c r="AE203" s="99"/>
      <c r="AF203" s="99"/>
      <c r="AG203" s="99"/>
      <c r="AH203" s="99"/>
      <c r="AI203" s="99"/>
    </row>
    <row r="204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100"/>
      <c r="N204" s="100"/>
      <c r="O204" s="100"/>
      <c r="P204" s="100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101"/>
      <c r="AB204" s="101"/>
      <c r="AC204" s="101"/>
      <c r="AD204" s="101"/>
      <c r="AE204" s="99"/>
      <c r="AF204" s="99"/>
      <c r="AG204" s="99"/>
      <c r="AH204" s="99"/>
      <c r="AI204" s="99"/>
    </row>
    <row r="20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100"/>
      <c r="N205" s="100"/>
      <c r="O205" s="100"/>
      <c r="P205" s="100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101"/>
      <c r="AB205" s="101"/>
      <c r="AC205" s="101"/>
      <c r="AD205" s="101"/>
      <c r="AE205" s="99"/>
      <c r="AF205" s="99"/>
      <c r="AG205" s="99"/>
      <c r="AH205" s="99"/>
      <c r="AI205" s="99"/>
    </row>
    <row r="20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100"/>
      <c r="N206" s="100"/>
      <c r="O206" s="100"/>
      <c r="P206" s="100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101"/>
      <c r="AB206" s="101"/>
      <c r="AC206" s="101"/>
      <c r="AD206" s="101"/>
      <c r="AE206" s="99"/>
      <c r="AF206" s="99"/>
      <c r="AG206" s="99"/>
      <c r="AH206" s="99"/>
      <c r="AI206" s="99"/>
    </row>
    <row r="207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100"/>
      <c r="N207" s="100"/>
      <c r="O207" s="100"/>
      <c r="P207" s="100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101"/>
      <c r="AB207" s="101"/>
      <c r="AC207" s="101"/>
      <c r="AD207" s="101"/>
      <c r="AE207" s="99"/>
      <c r="AF207" s="99"/>
      <c r="AG207" s="99"/>
      <c r="AH207" s="99"/>
      <c r="AI207" s="99"/>
    </row>
  </sheetData>
  <mergeCells count="138">
    <mergeCell ref="V14:V15"/>
    <mergeCell ref="V16:V17"/>
    <mergeCell ref="R8:R9"/>
    <mergeCell ref="R10:R11"/>
    <mergeCell ref="P12:R12"/>
    <mergeCell ref="P14:Q17"/>
    <mergeCell ref="R14:R15"/>
    <mergeCell ref="T14:U17"/>
    <mergeCell ref="R16:R17"/>
    <mergeCell ref="B3:AH5"/>
    <mergeCell ref="B7:E8"/>
    <mergeCell ref="F7:I8"/>
    <mergeCell ref="L7:N7"/>
    <mergeCell ref="P7:R7"/>
    <mergeCell ref="T7:V7"/>
    <mergeCell ref="X7:Z7"/>
    <mergeCell ref="Z8:Z9"/>
    <mergeCell ref="AB8:AC11"/>
    <mergeCell ref="AD8:AD9"/>
    <mergeCell ref="Z10:Z11"/>
    <mergeCell ref="AD10:AD11"/>
    <mergeCell ref="B10:E16"/>
    <mergeCell ref="F10:I16"/>
    <mergeCell ref="B19:E20"/>
    <mergeCell ref="F19:I20"/>
    <mergeCell ref="B21:E25"/>
    <mergeCell ref="F21:I25"/>
    <mergeCell ref="L24:N24"/>
    <mergeCell ref="T12:V12"/>
    <mergeCell ref="X12:Z12"/>
    <mergeCell ref="AB12:AD12"/>
    <mergeCell ref="L8:M11"/>
    <mergeCell ref="N8:N9"/>
    <mergeCell ref="P8:Q11"/>
    <mergeCell ref="T8:U11"/>
    <mergeCell ref="V8:V9"/>
    <mergeCell ref="X8:Y11"/>
    <mergeCell ref="V10:V11"/>
    <mergeCell ref="X14:Y17"/>
    <mergeCell ref="Z14:Z15"/>
    <mergeCell ref="AB14:AC17"/>
    <mergeCell ref="AD14:AD15"/>
    <mergeCell ref="Z16:Z17"/>
    <mergeCell ref="AD16:AD17"/>
    <mergeCell ref="T18:V18"/>
    <mergeCell ref="AD23:AD24"/>
    <mergeCell ref="AB25:AD25"/>
    <mergeCell ref="X18:Z18"/>
    <mergeCell ref="AB18:AD18"/>
    <mergeCell ref="AB21:AC24"/>
    <mergeCell ref="AD21:AD22"/>
    <mergeCell ref="P24:R24"/>
    <mergeCell ref="T24:V24"/>
    <mergeCell ref="X24:Z24"/>
    <mergeCell ref="Q60:R61"/>
    <mergeCell ref="Q62:R63"/>
    <mergeCell ref="Q64:R65"/>
    <mergeCell ref="Q66:R67"/>
    <mergeCell ref="S66:U67"/>
    <mergeCell ref="Q68:R69"/>
    <mergeCell ref="S68:U69"/>
    <mergeCell ref="Q80:R81"/>
    <mergeCell ref="Q82:R83"/>
    <mergeCell ref="Q84:R85"/>
    <mergeCell ref="Q86:R87"/>
    <mergeCell ref="Q88:R89"/>
    <mergeCell ref="S82:U83"/>
    <mergeCell ref="S84:U85"/>
    <mergeCell ref="S86:U87"/>
    <mergeCell ref="S88:U89"/>
    <mergeCell ref="AC95:AF97"/>
    <mergeCell ref="AC98:AF107"/>
    <mergeCell ref="AC108:AC109"/>
    <mergeCell ref="AD108:AF109"/>
    <mergeCell ref="Q70:R71"/>
    <mergeCell ref="S70:U71"/>
    <mergeCell ref="Q76:R77"/>
    <mergeCell ref="S76:U77"/>
    <mergeCell ref="Q78:R79"/>
    <mergeCell ref="S78:U79"/>
    <mergeCell ref="S80:U81"/>
    <mergeCell ref="N72:O74"/>
    <mergeCell ref="L75:O81"/>
    <mergeCell ref="L82:O83"/>
    <mergeCell ref="N84:O84"/>
    <mergeCell ref="A190:G190"/>
    <mergeCell ref="L57:O62"/>
    <mergeCell ref="L63:M64"/>
    <mergeCell ref="N63:O65"/>
    <mergeCell ref="K66:K73"/>
    <mergeCell ref="L66:O71"/>
    <mergeCell ref="L72:M73"/>
    <mergeCell ref="K75:K83"/>
    <mergeCell ref="N10:N11"/>
    <mergeCell ref="L12:N12"/>
    <mergeCell ref="L14:M17"/>
    <mergeCell ref="N14:N15"/>
    <mergeCell ref="N16:N17"/>
    <mergeCell ref="L18:N18"/>
    <mergeCell ref="P18:R18"/>
    <mergeCell ref="V20:V21"/>
    <mergeCell ref="V22:V23"/>
    <mergeCell ref="L20:M23"/>
    <mergeCell ref="P20:Q23"/>
    <mergeCell ref="R20:R21"/>
    <mergeCell ref="T20:U23"/>
    <mergeCell ref="X20:Y23"/>
    <mergeCell ref="Z20:Z21"/>
    <mergeCell ref="R22:R23"/>
    <mergeCell ref="Z22:Z23"/>
    <mergeCell ref="N20:N21"/>
    <mergeCell ref="N22:N23"/>
    <mergeCell ref="L26:M29"/>
    <mergeCell ref="N26:N27"/>
    <mergeCell ref="P26:Q29"/>
    <mergeCell ref="R26:R27"/>
    <mergeCell ref="R28:R29"/>
    <mergeCell ref="P30:R30"/>
    <mergeCell ref="N28:N29"/>
    <mergeCell ref="L30:N30"/>
    <mergeCell ref="L32:M35"/>
    <mergeCell ref="N32:N33"/>
    <mergeCell ref="P32:Q35"/>
    <mergeCell ref="R32:R33"/>
    <mergeCell ref="R34:R35"/>
    <mergeCell ref="P36:R36"/>
    <mergeCell ref="N34:N35"/>
    <mergeCell ref="L36:N36"/>
    <mergeCell ref="K57:K64"/>
    <mergeCell ref="Q57:U59"/>
    <mergeCell ref="W57:Y57"/>
    <mergeCell ref="S60:U61"/>
    <mergeCell ref="S62:U63"/>
    <mergeCell ref="S64:U65"/>
    <mergeCell ref="Q72:R73"/>
    <mergeCell ref="S72:U73"/>
    <mergeCell ref="Q74:R75"/>
    <mergeCell ref="S74:U7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  <extLst>
    <ext uri="{05C60535-1F16-4fd2-B633-F4F36F0B64E0}">
      <x14:sparklineGroups>
        <x14:sparklineGroup displayEmptyCellsAs="gap">
          <x14:colorSeries rgb="FFF09D65"/>
          <x14:sparklines>
            <x14:sparkline>
              <xm:f>Helper!K3:K6</xm:f>
              <xm:sqref>L82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75"/>
  <cols>
    <col customWidth="1" min="1" max="1" width="2.11"/>
    <col customWidth="1" min="2" max="2" width="12.78"/>
    <col customWidth="1" min="3" max="3" width="7.78"/>
    <col customWidth="1" min="4" max="4" width="10.11"/>
    <col customWidth="1" min="5" max="5" width="7.67"/>
    <col customWidth="1" min="6" max="6" width="7.89"/>
    <col customWidth="1" min="7" max="7" width="9.22"/>
    <col customWidth="1" min="8" max="8" width="4.78"/>
    <col customWidth="1" min="9" max="9" width="23.44"/>
    <col customWidth="1" min="10" max="10" width="8.56"/>
    <col customWidth="1" min="11" max="11" width="9.44"/>
    <col customWidth="1" min="12" max="12" width="16.0"/>
    <col customWidth="1" min="13" max="13" width="8.56"/>
    <col customWidth="1" min="14" max="14" width="19.44"/>
    <col customWidth="1" min="15" max="15" width="9.22"/>
    <col customWidth="1" min="16" max="16" width="5.33"/>
    <col customWidth="1" min="17" max="17" width="14.44"/>
    <col customWidth="1" min="18" max="18" width="4.89"/>
    <col customWidth="1" min="19" max="20" width="12.89"/>
    <col customWidth="1" min="21" max="22" width="11.67"/>
    <col customWidth="1" min="23" max="23" width="7.89"/>
    <col customWidth="1" min="24" max="25" width="8.89"/>
    <col customWidth="1" min="26" max="26" width="7.78"/>
    <col customWidth="1" min="27" max="27" width="10.78"/>
    <col customWidth="1" min="28" max="28" width="4.22"/>
    <col customWidth="1" min="29" max="29" width="4.44"/>
    <col customWidth="1" min="30" max="30" width="3.22"/>
    <col customWidth="1" min="31" max="32" width="4.89"/>
    <col customWidth="1" min="33" max="34" width="3.78"/>
    <col customWidth="1" min="35" max="35" width="17.22"/>
    <col customWidth="1" min="36" max="36" width="13.89"/>
    <col customWidth="1" min="37" max="38" width="10.89"/>
    <col customWidth="1" min="39" max="39" width="12.11"/>
    <col customWidth="1" min="40" max="40" width="10.89"/>
    <col customWidth="1" min="41" max="43" width="6.89"/>
    <col customWidth="1" min="44" max="44" width="3.33"/>
    <col customWidth="1" min="45" max="45" width="3.0"/>
    <col customWidth="1" min="46" max="48" width="17.22"/>
  </cols>
  <sheetData>
    <row r="1">
      <c r="B1" s="102" t="s">
        <v>54</v>
      </c>
      <c r="C1" s="103"/>
      <c r="D1" s="103"/>
      <c r="E1" s="103"/>
      <c r="F1" s="103"/>
      <c r="G1" s="103"/>
      <c r="H1" s="103"/>
      <c r="I1" s="104"/>
      <c r="J1" s="104"/>
      <c r="K1" s="103"/>
      <c r="L1" s="103"/>
      <c r="M1" s="103"/>
      <c r="N1" s="104"/>
      <c r="O1" s="104"/>
      <c r="P1" s="103"/>
      <c r="Q1" s="103"/>
      <c r="R1" s="103"/>
      <c r="S1" s="105"/>
      <c r="T1" s="105"/>
      <c r="U1" s="103"/>
      <c r="W1" s="106" t="s">
        <v>55</v>
      </c>
      <c r="X1" s="104"/>
      <c r="Y1" s="103"/>
      <c r="Z1" s="104"/>
      <c r="AA1" s="104"/>
      <c r="AB1" s="105"/>
      <c r="AC1" s="105"/>
      <c r="AD1" s="105"/>
      <c r="AE1" s="105"/>
      <c r="AF1" s="105"/>
      <c r="AG1" s="105"/>
      <c r="AH1" s="105"/>
      <c r="AI1" s="107"/>
      <c r="AJ1" s="107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</row>
    <row r="2">
      <c r="A2" s="108"/>
      <c r="B2" s="109" t="s">
        <v>56</v>
      </c>
      <c r="H2" s="110"/>
      <c r="I2" s="111" t="s">
        <v>57</v>
      </c>
      <c r="J2" s="111"/>
      <c r="K2" s="111"/>
      <c r="L2" s="111"/>
      <c r="M2" s="112"/>
      <c r="N2" s="113" t="s">
        <v>58</v>
      </c>
      <c r="O2" s="114"/>
      <c r="P2" s="114"/>
      <c r="Q2" s="114"/>
      <c r="R2" s="114"/>
      <c r="S2" s="114"/>
      <c r="T2" s="115"/>
      <c r="U2" s="113" t="s">
        <v>59</v>
      </c>
      <c r="V2" s="114"/>
      <c r="W2" s="114"/>
      <c r="X2" s="114"/>
      <c r="Y2" s="114"/>
      <c r="Z2" s="114"/>
      <c r="AA2" s="114"/>
      <c r="AB2" s="116" t="s">
        <v>60</v>
      </c>
      <c r="AC2" s="114"/>
      <c r="AD2" s="114"/>
      <c r="AE2" s="114"/>
      <c r="AF2" s="114"/>
      <c r="AG2" s="114"/>
      <c r="AH2" s="115"/>
      <c r="AI2" s="113" t="s">
        <v>61</v>
      </c>
      <c r="AJ2" s="114"/>
      <c r="AK2" s="114"/>
      <c r="AL2" s="114"/>
      <c r="AM2" s="114"/>
      <c r="AN2" s="115"/>
      <c r="AO2" s="109" t="s">
        <v>62</v>
      </c>
      <c r="AS2" s="110"/>
      <c r="AT2" s="117"/>
      <c r="AU2" s="117"/>
      <c r="AV2" s="117"/>
    </row>
    <row r="3" ht="46.5" customHeight="1">
      <c r="A3" s="118"/>
      <c r="B3" s="119" t="s">
        <v>63</v>
      </c>
      <c r="C3" s="118"/>
      <c r="D3" s="118"/>
      <c r="E3" s="118"/>
      <c r="F3" s="118"/>
      <c r="G3" s="118"/>
      <c r="H3" s="118"/>
      <c r="I3" s="120" t="s">
        <v>64</v>
      </c>
      <c r="J3" s="118"/>
      <c r="K3" s="118"/>
      <c r="L3" s="118"/>
      <c r="M3" s="121"/>
      <c r="N3" s="119" t="s">
        <v>65</v>
      </c>
      <c r="O3" s="118"/>
      <c r="P3" s="118"/>
      <c r="Q3" s="118"/>
      <c r="R3" s="118"/>
      <c r="S3" s="122"/>
      <c r="T3" s="123"/>
      <c r="U3" s="119" t="s">
        <v>66</v>
      </c>
      <c r="V3" s="122"/>
      <c r="W3" s="118"/>
      <c r="X3" s="118"/>
      <c r="Y3" s="118"/>
      <c r="Z3" s="118"/>
      <c r="AA3" s="118"/>
      <c r="AB3" s="120" t="s">
        <v>67</v>
      </c>
      <c r="AC3" s="122"/>
      <c r="AD3" s="122"/>
      <c r="AE3" s="122"/>
      <c r="AF3" s="122"/>
      <c r="AG3" s="122"/>
      <c r="AH3" s="123"/>
      <c r="AI3" s="124" t="s">
        <v>68</v>
      </c>
      <c r="AJ3" s="125"/>
      <c r="AK3" s="118"/>
      <c r="AL3" s="118"/>
      <c r="AM3" s="118"/>
      <c r="AN3" s="121"/>
      <c r="AO3" s="119" t="s">
        <v>69</v>
      </c>
      <c r="AP3" s="118"/>
      <c r="AQ3" s="118"/>
      <c r="AR3" s="118"/>
      <c r="AS3" s="118"/>
      <c r="AT3" s="118"/>
      <c r="AU3" s="118"/>
      <c r="AV3" s="118"/>
    </row>
    <row r="4" ht="1.5" customHeight="1">
      <c r="A4" s="103"/>
      <c r="B4" s="105"/>
      <c r="C4" s="103"/>
      <c r="D4" s="103"/>
      <c r="E4" s="103"/>
      <c r="F4" s="103"/>
      <c r="G4" s="103"/>
      <c r="H4" s="126"/>
      <c r="I4" s="104"/>
      <c r="J4" s="104"/>
      <c r="K4" s="103"/>
      <c r="L4" s="103"/>
      <c r="M4" s="126"/>
      <c r="N4" s="104"/>
      <c r="O4" s="104"/>
      <c r="P4" s="103"/>
      <c r="Q4" s="103"/>
      <c r="R4" s="103"/>
      <c r="S4" s="105"/>
      <c r="T4" s="127"/>
      <c r="U4" s="103"/>
      <c r="V4" s="105"/>
      <c r="W4" s="103"/>
      <c r="X4" s="104"/>
      <c r="Y4" s="103"/>
      <c r="Z4" s="104"/>
      <c r="AA4" s="128"/>
      <c r="AB4" s="105"/>
      <c r="AC4" s="105"/>
      <c r="AD4" s="105"/>
      <c r="AE4" s="105"/>
      <c r="AF4" s="105"/>
      <c r="AG4" s="105"/>
      <c r="AH4" s="127"/>
      <c r="AI4" s="107"/>
      <c r="AJ4" s="107"/>
      <c r="AK4" s="103"/>
      <c r="AL4" s="103"/>
      <c r="AM4" s="103"/>
      <c r="AN4" s="126"/>
      <c r="AO4" s="103"/>
      <c r="AP4" s="103"/>
      <c r="AQ4" s="103"/>
      <c r="AR4" s="103"/>
      <c r="AS4" s="103"/>
      <c r="AT4" s="103"/>
      <c r="AU4" s="103"/>
      <c r="AV4" s="103"/>
    </row>
    <row r="5" ht="36.75" customHeight="1">
      <c r="A5" s="129"/>
      <c r="B5" s="130" t="s">
        <v>70</v>
      </c>
      <c r="C5" s="130" t="s">
        <v>71</v>
      </c>
      <c r="D5" s="130" t="s">
        <v>72</v>
      </c>
      <c r="E5" s="130" t="s">
        <v>73</v>
      </c>
      <c r="F5" s="130" t="s">
        <v>74</v>
      </c>
      <c r="G5" s="130" t="s">
        <v>75</v>
      </c>
      <c r="H5" s="131" t="s">
        <v>76</v>
      </c>
      <c r="I5" s="130" t="s">
        <v>77</v>
      </c>
      <c r="J5" s="130" t="s">
        <v>78</v>
      </c>
      <c r="K5" s="130" t="s">
        <v>79</v>
      </c>
      <c r="L5" s="130" t="s">
        <v>80</v>
      </c>
      <c r="M5" s="132" t="s">
        <v>81</v>
      </c>
      <c r="N5" s="130" t="s">
        <v>82</v>
      </c>
      <c r="O5" s="130" t="s">
        <v>83</v>
      </c>
      <c r="P5" s="133" t="s">
        <v>84</v>
      </c>
      <c r="Q5" s="130" t="s">
        <v>85</v>
      </c>
      <c r="R5" s="133" t="s">
        <v>86</v>
      </c>
      <c r="S5" s="130" t="s">
        <v>87</v>
      </c>
      <c r="T5" s="132" t="s">
        <v>88</v>
      </c>
      <c r="U5" s="130" t="s">
        <v>89</v>
      </c>
      <c r="V5" s="130" t="s">
        <v>90</v>
      </c>
      <c r="W5" s="130" t="s">
        <v>91</v>
      </c>
      <c r="X5" s="130" t="s">
        <v>92</v>
      </c>
      <c r="Y5" s="130" t="s">
        <v>93</v>
      </c>
      <c r="Z5" s="130" t="s">
        <v>94</v>
      </c>
      <c r="AA5" s="132" t="s">
        <v>95</v>
      </c>
      <c r="AB5" s="133" t="s">
        <v>96</v>
      </c>
      <c r="AC5" s="133" t="s">
        <v>97</v>
      </c>
      <c r="AD5" s="133" t="s">
        <v>98</v>
      </c>
      <c r="AE5" s="133" t="s">
        <v>99</v>
      </c>
      <c r="AF5" s="133" t="s">
        <v>100</v>
      </c>
      <c r="AG5" s="133" t="s">
        <v>101</v>
      </c>
      <c r="AH5" s="131" t="s">
        <v>102</v>
      </c>
      <c r="AI5" s="134" t="s">
        <v>103</v>
      </c>
      <c r="AJ5" s="134"/>
      <c r="AK5" s="130" t="s">
        <v>104</v>
      </c>
      <c r="AL5" s="130" t="s">
        <v>105</v>
      </c>
      <c r="AM5" s="130" t="s">
        <v>106</v>
      </c>
      <c r="AN5" s="130" t="s">
        <v>107</v>
      </c>
      <c r="AO5" s="130" t="s">
        <v>108</v>
      </c>
      <c r="AP5" s="130" t="s">
        <v>109</v>
      </c>
      <c r="AQ5" s="130" t="s">
        <v>110</v>
      </c>
      <c r="AR5" s="130" t="s">
        <v>111</v>
      </c>
      <c r="AS5" s="130" t="s">
        <v>112</v>
      </c>
      <c r="AT5" s="130"/>
      <c r="AU5" s="130"/>
      <c r="AV5" s="130"/>
    </row>
    <row r="6">
      <c r="A6" s="103"/>
      <c r="B6" s="135">
        <v>45663.0</v>
      </c>
      <c r="C6" s="136" t="s">
        <v>113</v>
      </c>
      <c r="D6" s="137" t="s">
        <v>114</v>
      </c>
      <c r="E6" s="138"/>
      <c r="F6" s="136" t="s">
        <v>115</v>
      </c>
      <c r="G6" s="137" t="s">
        <v>116</v>
      </c>
      <c r="H6" s="139"/>
      <c r="I6" s="140" t="s">
        <v>117</v>
      </c>
      <c r="J6" s="141" t="s">
        <v>118</v>
      </c>
      <c r="K6" s="142"/>
      <c r="L6" s="142"/>
      <c r="M6" s="143"/>
      <c r="N6" s="144" t="s">
        <v>119</v>
      </c>
      <c r="O6" s="145" t="s">
        <v>120</v>
      </c>
      <c r="P6" s="138">
        <v>7.0</v>
      </c>
      <c r="Q6" s="146" t="s">
        <v>121</v>
      </c>
      <c r="R6" s="147">
        <f t="shared" ref="R6:R227" si="1">if(ISBLANK($T6),"",$T6-$S6+1)</f>
        <v>1</v>
      </c>
      <c r="S6" s="148">
        <v>45664.0</v>
      </c>
      <c r="T6" s="149">
        <v>45664.0</v>
      </c>
      <c r="U6" s="137" t="str">
        <f t="shared" ref="U6:U227" si="2">if(W6="","", S6-V6 &amp; " days")</f>
        <v>1 days</v>
      </c>
      <c r="V6" s="150">
        <v>45663.0</v>
      </c>
      <c r="W6" s="147" t="s">
        <v>122</v>
      </c>
      <c r="X6" s="151" t="s">
        <v>29</v>
      </c>
      <c r="Y6" s="147" t="s">
        <v>29</v>
      </c>
      <c r="Z6" s="151"/>
      <c r="AA6" s="152" t="s">
        <v>123</v>
      </c>
      <c r="AB6" s="137" t="b">
        <v>1</v>
      </c>
      <c r="AC6" s="153" t="b">
        <v>0</v>
      </c>
      <c r="AD6" s="153" t="b">
        <v>0</v>
      </c>
      <c r="AE6" s="154" t="b">
        <v>1</v>
      </c>
      <c r="AF6" s="155" t="b">
        <v>0</v>
      </c>
      <c r="AG6" s="154" t="b">
        <v>0</v>
      </c>
      <c r="AH6" s="139"/>
      <c r="AI6" s="156">
        <v>6660000.0</v>
      </c>
      <c r="AJ6" s="156"/>
      <c r="AK6" s="157"/>
      <c r="AL6" s="157"/>
      <c r="AM6" s="157"/>
      <c r="AN6" s="158"/>
      <c r="AO6" s="159"/>
      <c r="AP6" s="159"/>
      <c r="AQ6" s="159"/>
      <c r="AR6" s="138" t="b">
        <v>0</v>
      </c>
      <c r="AS6" s="149" t="b">
        <v>0</v>
      </c>
      <c r="AT6" s="157"/>
      <c r="AU6" s="157"/>
      <c r="AV6" s="157"/>
    </row>
    <row r="7">
      <c r="A7" s="103"/>
      <c r="B7" s="160">
        <v>45663.0</v>
      </c>
      <c r="C7" s="161" t="s">
        <v>113</v>
      </c>
      <c r="D7" s="162" t="s">
        <v>114</v>
      </c>
      <c r="E7" s="163"/>
      <c r="F7" s="164" t="s">
        <v>115</v>
      </c>
      <c r="G7" s="165" t="s">
        <v>116</v>
      </c>
      <c r="H7" s="166"/>
      <c r="I7" s="167" t="s">
        <v>124</v>
      </c>
      <c r="J7" s="167" t="s">
        <v>118</v>
      </c>
      <c r="K7" s="168" t="s">
        <v>125</v>
      </c>
      <c r="L7" s="169" t="s">
        <v>126</v>
      </c>
      <c r="M7" s="170"/>
      <c r="N7" s="171" t="s">
        <v>127</v>
      </c>
      <c r="O7" s="172" t="s">
        <v>128</v>
      </c>
      <c r="P7" s="173">
        <v>25.0</v>
      </c>
      <c r="Q7" s="174" t="s">
        <v>129</v>
      </c>
      <c r="R7" s="175">
        <f t="shared" si="1"/>
        <v>1</v>
      </c>
      <c r="S7" s="148">
        <v>45664.0</v>
      </c>
      <c r="T7" s="176">
        <v>45664.0</v>
      </c>
      <c r="U7" s="162" t="str">
        <f t="shared" si="2"/>
        <v>1 days</v>
      </c>
      <c r="V7" s="177">
        <v>45663.0</v>
      </c>
      <c r="W7" s="175" t="s">
        <v>130</v>
      </c>
      <c r="X7" s="172" t="s">
        <v>131</v>
      </c>
      <c r="Y7" s="178" t="s">
        <v>132</v>
      </c>
      <c r="Z7" s="172"/>
      <c r="AA7" s="179" t="s">
        <v>133</v>
      </c>
      <c r="AB7" s="162" t="b">
        <v>1</v>
      </c>
      <c r="AC7" s="175" t="b">
        <v>1</v>
      </c>
      <c r="AD7" s="175" t="b">
        <v>1</v>
      </c>
      <c r="AE7" s="180" t="b">
        <v>1</v>
      </c>
      <c r="AF7" s="181" t="b">
        <v>0</v>
      </c>
      <c r="AG7" s="180" t="b">
        <v>1</v>
      </c>
      <c r="AH7" s="166"/>
      <c r="AI7" s="182">
        <v>7500000.0</v>
      </c>
      <c r="AJ7" s="183">
        <f t="shared" ref="AJ7:AJ9" si="3">AI7</f>
        <v>7500000</v>
      </c>
      <c r="AK7" s="164" t="s">
        <v>134</v>
      </c>
      <c r="AL7" s="164" t="s">
        <v>134</v>
      </c>
      <c r="AM7" s="164" t="s">
        <v>134</v>
      </c>
      <c r="AN7" s="184" t="s">
        <v>135</v>
      </c>
      <c r="AO7" s="185"/>
      <c r="AP7" s="185"/>
      <c r="AQ7" s="185"/>
      <c r="AR7" s="163" t="b">
        <v>1</v>
      </c>
      <c r="AS7" s="186" t="b">
        <v>0</v>
      </c>
      <c r="AT7" s="164"/>
      <c r="AU7" s="164"/>
      <c r="AV7" s="164"/>
    </row>
    <row r="8">
      <c r="A8" s="103"/>
      <c r="B8" s="135">
        <v>45631.0</v>
      </c>
      <c r="C8" s="136" t="s">
        <v>113</v>
      </c>
      <c r="D8" s="187" t="s">
        <v>136</v>
      </c>
      <c r="E8" s="188" t="s">
        <v>137</v>
      </c>
      <c r="F8" s="136" t="s">
        <v>115</v>
      </c>
      <c r="G8" s="187" t="s">
        <v>116</v>
      </c>
      <c r="H8" s="139"/>
      <c r="I8" s="141" t="s">
        <v>124</v>
      </c>
      <c r="J8" s="141" t="s">
        <v>118</v>
      </c>
      <c r="K8" s="189" t="s">
        <v>125</v>
      </c>
      <c r="L8" s="190" t="s">
        <v>126</v>
      </c>
      <c r="M8" s="143"/>
      <c r="N8" s="191" t="s">
        <v>119</v>
      </c>
      <c r="O8" s="151" t="s">
        <v>138</v>
      </c>
      <c r="P8" s="188">
        <v>25.0</v>
      </c>
      <c r="Q8" s="192" t="s">
        <v>139</v>
      </c>
      <c r="R8" s="147">
        <f t="shared" si="1"/>
        <v>1</v>
      </c>
      <c r="S8" s="148">
        <v>45665.0</v>
      </c>
      <c r="T8" s="193">
        <v>45665.0</v>
      </c>
      <c r="U8" s="137" t="str">
        <f t="shared" si="2"/>
        <v>34 days</v>
      </c>
      <c r="V8" s="194">
        <v>45631.0</v>
      </c>
      <c r="W8" s="147" t="s">
        <v>140</v>
      </c>
      <c r="X8" s="151" t="s">
        <v>131</v>
      </c>
      <c r="Y8" s="195" t="s">
        <v>132</v>
      </c>
      <c r="Z8" s="151"/>
      <c r="AA8" s="152" t="s">
        <v>133</v>
      </c>
      <c r="AB8" s="137" t="b">
        <v>1</v>
      </c>
      <c r="AC8" s="147" t="b">
        <v>1</v>
      </c>
      <c r="AD8" s="147" t="b">
        <v>1</v>
      </c>
      <c r="AE8" s="154" t="b">
        <v>1</v>
      </c>
      <c r="AF8" s="155" t="b">
        <v>0</v>
      </c>
      <c r="AG8" s="154" t="b">
        <v>1</v>
      </c>
      <c r="AH8" s="139"/>
      <c r="AI8" s="196">
        <v>1.262625E7</v>
      </c>
      <c r="AJ8" s="197">
        <f t="shared" si="3"/>
        <v>12626250</v>
      </c>
      <c r="AK8" s="157" t="s">
        <v>134</v>
      </c>
      <c r="AL8" s="157" t="s">
        <v>134</v>
      </c>
      <c r="AM8" s="157" t="s">
        <v>134</v>
      </c>
      <c r="AN8" s="158" t="s">
        <v>135</v>
      </c>
      <c r="AO8" s="198" t="s">
        <v>141</v>
      </c>
      <c r="AP8" s="199"/>
      <c r="AQ8" s="198" t="s">
        <v>142</v>
      </c>
      <c r="AR8" s="138" t="b">
        <v>1</v>
      </c>
      <c r="AS8" s="149" t="b">
        <v>0</v>
      </c>
      <c r="AT8" s="157"/>
      <c r="AU8" s="157"/>
      <c r="AV8" s="157"/>
    </row>
    <row r="9">
      <c r="A9" s="103"/>
      <c r="B9" s="160">
        <v>45663.0</v>
      </c>
      <c r="C9" s="161" t="s">
        <v>113</v>
      </c>
      <c r="D9" s="200" t="s">
        <v>143</v>
      </c>
      <c r="E9" s="201" t="s">
        <v>144</v>
      </c>
      <c r="F9" s="161" t="s">
        <v>115</v>
      </c>
      <c r="G9" s="200" t="s">
        <v>116</v>
      </c>
      <c r="H9" s="166"/>
      <c r="I9" s="202" t="s">
        <v>145</v>
      </c>
      <c r="J9" s="203" t="s">
        <v>146</v>
      </c>
      <c r="K9" s="204" t="s">
        <v>147</v>
      </c>
      <c r="L9" s="205" t="s">
        <v>148</v>
      </c>
      <c r="M9" s="206"/>
      <c r="N9" s="207" t="s">
        <v>119</v>
      </c>
      <c r="O9" s="208" t="s">
        <v>138</v>
      </c>
      <c r="P9" s="201">
        <v>15.0</v>
      </c>
      <c r="Q9" s="174" t="s">
        <v>139</v>
      </c>
      <c r="R9" s="175">
        <f t="shared" si="1"/>
        <v>1</v>
      </c>
      <c r="S9" s="148">
        <v>45665.0</v>
      </c>
      <c r="T9" s="186">
        <v>45665.0</v>
      </c>
      <c r="U9" s="162" t="str">
        <f t="shared" si="2"/>
        <v>2 days</v>
      </c>
      <c r="V9" s="209">
        <v>45663.0</v>
      </c>
      <c r="W9" s="175" t="s">
        <v>149</v>
      </c>
      <c r="X9" s="172" t="s">
        <v>131</v>
      </c>
      <c r="Y9" s="210" t="s">
        <v>132</v>
      </c>
      <c r="Z9" s="172"/>
      <c r="AA9" s="211" t="s">
        <v>133</v>
      </c>
      <c r="AB9" s="162" t="b">
        <v>1</v>
      </c>
      <c r="AC9" s="175" t="b">
        <v>1</v>
      </c>
      <c r="AD9" s="175" t="b">
        <v>1</v>
      </c>
      <c r="AE9" s="180" t="b">
        <v>1</v>
      </c>
      <c r="AF9" s="181" t="b">
        <v>0</v>
      </c>
      <c r="AG9" s="180" t="b">
        <v>1</v>
      </c>
      <c r="AH9" s="166"/>
      <c r="AI9" s="212">
        <v>4200000.0</v>
      </c>
      <c r="AJ9" s="213">
        <f t="shared" si="3"/>
        <v>4200000</v>
      </c>
      <c r="AK9" s="161" t="s">
        <v>134</v>
      </c>
      <c r="AL9" s="161" t="s">
        <v>134</v>
      </c>
      <c r="AM9" s="161" t="s">
        <v>134</v>
      </c>
      <c r="AN9" s="184" t="s">
        <v>135</v>
      </c>
      <c r="AO9" s="214" t="s">
        <v>150</v>
      </c>
      <c r="AP9" s="215"/>
      <c r="AQ9" s="214" t="s">
        <v>151</v>
      </c>
      <c r="AR9" s="163" t="b">
        <v>1</v>
      </c>
      <c r="AS9" s="186" t="b">
        <v>0</v>
      </c>
      <c r="AT9" s="161"/>
      <c r="AU9" s="164"/>
      <c r="AV9" s="164"/>
    </row>
    <row r="10">
      <c r="A10" s="103"/>
      <c r="B10" s="135">
        <v>45661.0</v>
      </c>
      <c r="C10" s="136" t="s">
        <v>113</v>
      </c>
      <c r="D10" s="216" t="s">
        <v>136</v>
      </c>
      <c r="E10" s="217" t="s">
        <v>152</v>
      </c>
      <c r="F10" s="136" t="s">
        <v>153</v>
      </c>
      <c r="G10" s="216" t="s">
        <v>153</v>
      </c>
      <c r="H10" s="139"/>
      <c r="I10" s="218" t="s">
        <v>154</v>
      </c>
      <c r="J10" s="219" t="s">
        <v>155</v>
      </c>
      <c r="K10" s="220" t="s">
        <v>156</v>
      </c>
      <c r="L10" s="221" t="s">
        <v>157</v>
      </c>
      <c r="M10" s="222"/>
      <c r="N10" s="223" t="s">
        <v>127</v>
      </c>
      <c r="O10" s="224" t="s">
        <v>128</v>
      </c>
      <c r="P10" s="225">
        <v>50.0</v>
      </c>
      <c r="Q10" s="192" t="s">
        <v>158</v>
      </c>
      <c r="R10" s="147">
        <f t="shared" si="1"/>
        <v>1</v>
      </c>
      <c r="S10" s="148">
        <v>45668.0</v>
      </c>
      <c r="T10" s="149">
        <v>45668.0</v>
      </c>
      <c r="U10" s="137" t="str">
        <f t="shared" si="2"/>
        <v>7 days</v>
      </c>
      <c r="V10" s="226">
        <v>45661.0</v>
      </c>
      <c r="W10" s="147" t="s">
        <v>159</v>
      </c>
      <c r="X10" s="151" t="s">
        <v>29</v>
      </c>
      <c r="Y10" s="227" t="s">
        <v>29</v>
      </c>
      <c r="Z10" s="151"/>
      <c r="AA10" s="228" t="s">
        <v>160</v>
      </c>
      <c r="AB10" s="137" t="b">
        <v>1</v>
      </c>
      <c r="AC10" s="153" t="b">
        <v>0</v>
      </c>
      <c r="AD10" s="153" t="b">
        <v>0</v>
      </c>
      <c r="AE10" s="155" t="b">
        <v>0</v>
      </c>
      <c r="AF10" s="155" t="b">
        <v>0</v>
      </c>
      <c r="AG10" s="154" t="b">
        <v>0</v>
      </c>
      <c r="AH10" s="139"/>
      <c r="AI10" s="229">
        <v>4.45E7</v>
      </c>
      <c r="AJ10" s="156"/>
      <c r="AK10" s="157"/>
      <c r="AL10" s="157"/>
      <c r="AM10" s="157"/>
      <c r="AN10" s="158"/>
      <c r="AO10" s="199"/>
      <c r="AP10" s="199"/>
      <c r="AQ10" s="199"/>
      <c r="AR10" s="138" t="b">
        <v>0</v>
      </c>
      <c r="AS10" s="149" t="b">
        <v>0</v>
      </c>
      <c r="AT10" s="157"/>
      <c r="AU10" s="136"/>
      <c r="AV10" s="136"/>
    </row>
    <row r="11">
      <c r="A11" s="103"/>
      <c r="B11" s="160">
        <v>45667.0</v>
      </c>
      <c r="C11" s="161" t="s">
        <v>113</v>
      </c>
      <c r="D11" s="200" t="s">
        <v>136</v>
      </c>
      <c r="E11" s="230" t="s">
        <v>161</v>
      </c>
      <c r="F11" s="161" t="s">
        <v>115</v>
      </c>
      <c r="G11" s="200" t="s">
        <v>162</v>
      </c>
      <c r="H11" s="166"/>
      <c r="I11" s="202" t="s">
        <v>163</v>
      </c>
      <c r="J11" s="202" t="s">
        <v>146</v>
      </c>
      <c r="K11" s="231" t="s">
        <v>164</v>
      </c>
      <c r="L11" s="232" t="s">
        <v>165</v>
      </c>
      <c r="M11" s="206"/>
      <c r="N11" s="233" t="s">
        <v>119</v>
      </c>
      <c r="O11" s="208" t="s">
        <v>166</v>
      </c>
      <c r="P11" s="230">
        <v>40.0</v>
      </c>
      <c r="Q11" s="234" t="s">
        <v>167</v>
      </c>
      <c r="R11" s="175">
        <f t="shared" si="1"/>
        <v>3</v>
      </c>
      <c r="S11" s="148">
        <v>45672.0</v>
      </c>
      <c r="T11" s="186">
        <v>45674.0</v>
      </c>
      <c r="U11" s="162" t="str">
        <f t="shared" si="2"/>
        <v>5 days</v>
      </c>
      <c r="V11" s="209">
        <v>45667.0</v>
      </c>
      <c r="W11" s="175" t="s">
        <v>168</v>
      </c>
      <c r="X11" s="172" t="s">
        <v>131</v>
      </c>
      <c r="Y11" s="235" t="s">
        <v>132</v>
      </c>
      <c r="Z11" s="172"/>
      <c r="AA11" s="211" t="s">
        <v>133</v>
      </c>
      <c r="AB11" s="162" t="b">
        <v>1</v>
      </c>
      <c r="AC11" s="175" t="b">
        <v>1</v>
      </c>
      <c r="AD11" s="175" t="b">
        <v>1</v>
      </c>
      <c r="AE11" s="180" t="b">
        <v>1</v>
      </c>
      <c r="AF11" s="181" t="b">
        <v>0</v>
      </c>
      <c r="AG11" s="180" t="b">
        <v>1</v>
      </c>
      <c r="AH11" s="166"/>
      <c r="AI11" s="212">
        <v>1.66349319E8</v>
      </c>
      <c r="AJ11" s="213">
        <f>AI11</f>
        <v>166349319</v>
      </c>
      <c r="AK11" s="164" t="s">
        <v>134</v>
      </c>
      <c r="AL11" s="164" t="s">
        <v>134</v>
      </c>
      <c r="AM11" s="164" t="s">
        <v>134</v>
      </c>
      <c r="AN11" s="184" t="s">
        <v>135</v>
      </c>
      <c r="AO11" s="185"/>
      <c r="AP11" s="185"/>
      <c r="AQ11" s="236" t="s">
        <v>169</v>
      </c>
      <c r="AR11" s="163" t="b">
        <v>1</v>
      </c>
      <c r="AS11" s="186" t="b">
        <v>0</v>
      </c>
      <c r="AT11" s="164"/>
      <c r="AU11" s="164"/>
      <c r="AV11" s="164"/>
    </row>
    <row r="12">
      <c r="A12" s="103"/>
      <c r="B12" s="135">
        <v>45569.0</v>
      </c>
      <c r="C12" s="136" t="s">
        <v>113</v>
      </c>
      <c r="D12" s="216" t="s">
        <v>136</v>
      </c>
      <c r="E12" s="225" t="s">
        <v>137</v>
      </c>
      <c r="F12" s="136" t="s">
        <v>115</v>
      </c>
      <c r="G12" s="237" t="s">
        <v>170</v>
      </c>
      <c r="H12" s="139"/>
      <c r="I12" s="218" t="s">
        <v>171</v>
      </c>
      <c r="J12" s="219" t="s">
        <v>118</v>
      </c>
      <c r="K12" s="220" t="s">
        <v>172</v>
      </c>
      <c r="L12" s="221" t="s">
        <v>173</v>
      </c>
      <c r="M12" s="222"/>
      <c r="N12" s="223" t="s">
        <v>119</v>
      </c>
      <c r="O12" s="238" t="s">
        <v>174</v>
      </c>
      <c r="P12" s="225">
        <v>140.0</v>
      </c>
      <c r="Q12" s="192" t="s">
        <v>175</v>
      </c>
      <c r="R12" s="147">
        <f t="shared" si="1"/>
        <v>1</v>
      </c>
      <c r="S12" s="148">
        <v>45674.0</v>
      </c>
      <c r="T12" s="239">
        <v>45674.0</v>
      </c>
      <c r="U12" s="137" t="str">
        <f t="shared" si="2"/>
        <v>105 days</v>
      </c>
      <c r="V12" s="240">
        <v>45569.0</v>
      </c>
      <c r="W12" s="147" t="s">
        <v>176</v>
      </c>
      <c r="X12" s="151" t="s">
        <v>131</v>
      </c>
      <c r="Y12" s="227" t="s">
        <v>132</v>
      </c>
      <c r="Z12" s="151"/>
      <c r="AA12" s="228" t="s">
        <v>133</v>
      </c>
      <c r="AB12" s="137" t="b">
        <v>1</v>
      </c>
      <c r="AC12" s="147" t="b">
        <v>1</v>
      </c>
      <c r="AD12" s="147" t="b">
        <v>1</v>
      </c>
      <c r="AE12" s="154" t="b">
        <v>1</v>
      </c>
      <c r="AF12" s="155" t="b">
        <v>0</v>
      </c>
      <c r="AG12" s="154" t="b">
        <v>1</v>
      </c>
      <c r="AH12" s="139"/>
      <c r="AI12" s="229">
        <v>6.9406288E7</v>
      </c>
      <c r="AJ12" s="156">
        <v>6.9406288E7</v>
      </c>
      <c r="AK12" s="157" t="s">
        <v>134</v>
      </c>
      <c r="AL12" s="157" t="s">
        <v>134</v>
      </c>
      <c r="AM12" s="157" t="s">
        <v>134</v>
      </c>
      <c r="AN12" s="158" t="s">
        <v>135</v>
      </c>
      <c r="AO12" s="241" t="s">
        <v>177</v>
      </c>
      <c r="AP12" s="199"/>
      <c r="AQ12" s="198" t="s">
        <v>178</v>
      </c>
      <c r="AR12" s="138" t="b">
        <v>1</v>
      </c>
      <c r="AS12" s="149" t="b">
        <v>0</v>
      </c>
      <c r="AT12" s="157"/>
      <c r="AU12" s="157"/>
      <c r="AV12" s="157"/>
    </row>
    <row r="13">
      <c r="A13" s="103"/>
      <c r="B13" s="160">
        <v>45643.0</v>
      </c>
      <c r="C13" s="161" t="s">
        <v>113</v>
      </c>
      <c r="D13" s="200" t="s">
        <v>136</v>
      </c>
      <c r="E13" s="230" t="s">
        <v>179</v>
      </c>
      <c r="F13" s="161" t="s">
        <v>115</v>
      </c>
      <c r="G13" s="200" t="s">
        <v>162</v>
      </c>
      <c r="H13" s="166"/>
      <c r="I13" s="202" t="s">
        <v>180</v>
      </c>
      <c r="J13" s="202" t="s">
        <v>118</v>
      </c>
      <c r="K13" s="231" t="s">
        <v>181</v>
      </c>
      <c r="L13" s="231"/>
      <c r="M13" s="206"/>
      <c r="N13" s="233" t="s">
        <v>182</v>
      </c>
      <c r="O13" s="208" t="s">
        <v>182</v>
      </c>
      <c r="P13" s="230"/>
      <c r="Q13" s="234" t="s">
        <v>129</v>
      </c>
      <c r="R13" s="175">
        <f t="shared" si="1"/>
        <v>2</v>
      </c>
      <c r="S13" s="148">
        <v>45674.0</v>
      </c>
      <c r="T13" s="242">
        <v>45675.0</v>
      </c>
      <c r="U13" s="162" t="str">
        <f t="shared" si="2"/>
        <v>31 days</v>
      </c>
      <c r="V13" s="209">
        <v>45643.0</v>
      </c>
      <c r="W13" s="175" t="s">
        <v>183</v>
      </c>
      <c r="X13" s="243" t="s">
        <v>131</v>
      </c>
      <c r="Y13" s="210" t="s">
        <v>132</v>
      </c>
      <c r="Z13" s="172"/>
      <c r="AA13" s="244"/>
      <c r="AB13" s="162" t="b">
        <v>1</v>
      </c>
      <c r="AC13" s="175" t="b">
        <v>1</v>
      </c>
      <c r="AD13" s="175" t="b">
        <v>1</v>
      </c>
      <c r="AE13" s="180" t="b">
        <v>1</v>
      </c>
      <c r="AF13" s="181" t="b">
        <v>0</v>
      </c>
      <c r="AG13" s="180" t="b">
        <v>1</v>
      </c>
      <c r="AH13" s="166"/>
      <c r="AI13" s="212">
        <v>7.98382E7</v>
      </c>
      <c r="AJ13" s="213">
        <v>7.98382E7</v>
      </c>
      <c r="AK13" s="164" t="s">
        <v>134</v>
      </c>
      <c r="AL13" s="164" t="s">
        <v>134</v>
      </c>
      <c r="AM13" s="164" t="s">
        <v>134</v>
      </c>
      <c r="AN13" s="184" t="s">
        <v>135</v>
      </c>
      <c r="AO13" s="185"/>
      <c r="AP13" s="185"/>
      <c r="AQ13" s="185"/>
      <c r="AR13" s="163" t="b">
        <v>0</v>
      </c>
      <c r="AS13" s="186" t="b">
        <v>0</v>
      </c>
      <c r="AT13" s="164"/>
      <c r="AU13" s="164"/>
      <c r="AV13" s="164"/>
    </row>
    <row r="14">
      <c r="A14" s="103"/>
      <c r="B14" s="135">
        <v>45664.0</v>
      </c>
      <c r="C14" s="136" t="s">
        <v>113</v>
      </c>
      <c r="D14" s="216" t="s">
        <v>136</v>
      </c>
      <c r="E14" s="217"/>
      <c r="F14" s="136" t="s">
        <v>115</v>
      </c>
      <c r="G14" s="216" t="s">
        <v>116</v>
      </c>
      <c r="H14" s="139"/>
      <c r="I14" s="218" t="s">
        <v>184</v>
      </c>
      <c r="J14" s="218" t="s">
        <v>118</v>
      </c>
      <c r="K14" s="245" t="s">
        <v>185</v>
      </c>
      <c r="L14" s="246" t="s">
        <v>186</v>
      </c>
      <c r="M14" s="222"/>
      <c r="N14" s="247" t="s">
        <v>119</v>
      </c>
      <c r="O14" s="224" t="s">
        <v>120</v>
      </c>
      <c r="P14" s="217">
        <v>40.0</v>
      </c>
      <c r="Q14" s="146" t="s">
        <v>187</v>
      </c>
      <c r="R14" s="147">
        <f t="shared" si="1"/>
        <v>1</v>
      </c>
      <c r="S14" s="148">
        <v>45674.0</v>
      </c>
      <c r="T14" s="239">
        <v>45674.0</v>
      </c>
      <c r="U14" s="137" t="str">
        <f t="shared" si="2"/>
        <v>10 days</v>
      </c>
      <c r="V14" s="226">
        <v>45664.0</v>
      </c>
      <c r="W14" s="147" t="s">
        <v>188</v>
      </c>
      <c r="X14" s="151" t="s">
        <v>29</v>
      </c>
      <c r="Y14" s="227" t="s">
        <v>29</v>
      </c>
      <c r="Z14" s="151"/>
      <c r="AA14" s="228" t="s">
        <v>189</v>
      </c>
      <c r="AB14" s="137" t="b">
        <v>1</v>
      </c>
      <c r="AC14" s="153" t="b">
        <v>0</v>
      </c>
      <c r="AD14" s="153" t="b">
        <v>0</v>
      </c>
      <c r="AE14" s="155" t="b">
        <v>0</v>
      </c>
      <c r="AF14" s="155" t="b">
        <v>0</v>
      </c>
      <c r="AG14" s="154" t="b">
        <v>0</v>
      </c>
      <c r="AH14" s="139"/>
      <c r="AI14" s="229">
        <v>2.1645E7</v>
      </c>
      <c r="AJ14" s="156"/>
      <c r="AK14" s="157"/>
      <c r="AL14" s="157"/>
      <c r="AM14" s="157"/>
      <c r="AN14" s="158"/>
      <c r="AO14" s="199"/>
      <c r="AP14" s="199"/>
      <c r="AQ14" s="199"/>
      <c r="AR14" s="138" t="b">
        <v>0</v>
      </c>
      <c r="AS14" s="149" t="b">
        <v>0</v>
      </c>
      <c r="AT14" s="157"/>
      <c r="AU14" s="157"/>
      <c r="AV14" s="157"/>
    </row>
    <row r="15">
      <c r="A15" s="103"/>
      <c r="B15" s="160">
        <v>45665.0</v>
      </c>
      <c r="C15" s="161" t="s">
        <v>190</v>
      </c>
      <c r="D15" s="200" t="s">
        <v>136</v>
      </c>
      <c r="E15" s="230" t="s">
        <v>191</v>
      </c>
      <c r="F15" s="161" t="s">
        <v>115</v>
      </c>
      <c r="G15" s="200" t="s">
        <v>192</v>
      </c>
      <c r="H15" s="166"/>
      <c r="I15" s="202" t="s">
        <v>193</v>
      </c>
      <c r="J15" s="202" t="s">
        <v>118</v>
      </c>
      <c r="K15" s="231" t="s">
        <v>194</v>
      </c>
      <c r="L15" s="232" t="s">
        <v>195</v>
      </c>
      <c r="M15" s="206"/>
      <c r="N15" s="233" t="s">
        <v>119</v>
      </c>
      <c r="O15" s="208" t="s">
        <v>196</v>
      </c>
      <c r="P15" s="230">
        <v>42.0</v>
      </c>
      <c r="Q15" s="234" t="s">
        <v>197</v>
      </c>
      <c r="R15" s="175">
        <f t="shared" si="1"/>
        <v>1</v>
      </c>
      <c r="S15" s="148">
        <v>45674.0</v>
      </c>
      <c r="T15" s="242">
        <v>45674.0</v>
      </c>
      <c r="U15" s="162" t="str">
        <f t="shared" si="2"/>
        <v>9 days</v>
      </c>
      <c r="V15" s="209">
        <v>45665.0</v>
      </c>
      <c r="W15" s="175" t="s">
        <v>198</v>
      </c>
      <c r="X15" s="208" t="s">
        <v>131</v>
      </c>
      <c r="Y15" s="210" t="s">
        <v>132</v>
      </c>
      <c r="Z15" s="172"/>
      <c r="AA15" s="244"/>
      <c r="AB15" s="162" t="b">
        <v>1</v>
      </c>
      <c r="AC15" s="175" t="b">
        <v>1</v>
      </c>
      <c r="AD15" s="175" t="b">
        <v>1</v>
      </c>
      <c r="AE15" s="180" t="b">
        <v>1</v>
      </c>
      <c r="AF15" s="181" t="b">
        <v>0</v>
      </c>
      <c r="AG15" s="180" t="b">
        <v>1</v>
      </c>
      <c r="AH15" s="166"/>
      <c r="AI15" s="212">
        <v>4620000.0</v>
      </c>
      <c r="AJ15" s="213">
        <f t="shared" ref="AJ15:AJ18" si="4">AI15</f>
        <v>4620000</v>
      </c>
      <c r="AK15" s="164" t="s">
        <v>134</v>
      </c>
      <c r="AL15" s="164" t="s">
        <v>134</v>
      </c>
      <c r="AM15" s="164" t="s">
        <v>134</v>
      </c>
      <c r="AN15" s="184" t="s">
        <v>135</v>
      </c>
      <c r="AO15" s="185"/>
      <c r="AP15" s="185"/>
      <c r="AQ15" s="185"/>
      <c r="AR15" s="163" t="b">
        <v>0</v>
      </c>
      <c r="AS15" s="186" t="b">
        <v>0</v>
      </c>
      <c r="AT15" s="164"/>
      <c r="AU15" s="164"/>
      <c r="AV15" s="164"/>
    </row>
    <row r="16">
      <c r="A16" s="103"/>
      <c r="B16" s="135">
        <v>45672.0</v>
      </c>
      <c r="C16" s="136" t="s">
        <v>190</v>
      </c>
      <c r="D16" s="216" t="s">
        <v>136</v>
      </c>
      <c r="E16" s="217" t="s">
        <v>199</v>
      </c>
      <c r="F16" s="136" t="s">
        <v>115</v>
      </c>
      <c r="G16" s="216" t="s">
        <v>116</v>
      </c>
      <c r="H16" s="139"/>
      <c r="I16" s="218" t="s">
        <v>200</v>
      </c>
      <c r="J16" s="218" t="s">
        <v>118</v>
      </c>
      <c r="K16" s="245" t="s">
        <v>201</v>
      </c>
      <c r="L16" s="246" t="s">
        <v>202</v>
      </c>
      <c r="M16" s="222"/>
      <c r="N16" s="247" t="s">
        <v>119</v>
      </c>
      <c r="O16" s="224" t="s">
        <v>120</v>
      </c>
      <c r="P16" s="217">
        <v>26.0</v>
      </c>
      <c r="Q16" s="146" t="s">
        <v>203</v>
      </c>
      <c r="R16" s="147">
        <f t="shared" si="1"/>
        <v>1</v>
      </c>
      <c r="S16" s="148">
        <v>45674.0</v>
      </c>
      <c r="T16" s="239">
        <v>45674.0</v>
      </c>
      <c r="U16" s="137" t="str">
        <f t="shared" si="2"/>
        <v>2 days</v>
      </c>
      <c r="V16" s="226">
        <v>45672.0</v>
      </c>
      <c r="W16" s="147" t="s">
        <v>204</v>
      </c>
      <c r="X16" s="224" t="s">
        <v>131</v>
      </c>
      <c r="Y16" s="248" t="s">
        <v>132</v>
      </c>
      <c r="Z16" s="151"/>
      <c r="AA16" s="249"/>
      <c r="AB16" s="137" t="b">
        <v>1</v>
      </c>
      <c r="AC16" s="147" t="b">
        <v>1</v>
      </c>
      <c r="AD16" s="147" t="b">
        <v>1</v>
      </c>
      <c r="AE16" s="154" t="b">
        <v>1</v>
      </c>
      <c r="AF16" s="155" t="b">
        <v>0</v>
      </c>
      <c r="AG16" s="154" t="b">
        <v>1</v>
      </c>
      <c r="AH16" s="139"/>
      <c r="AI16" s="229">
        <v>2600000.0</v>
      </c>
      <c r="AJ16" s="156">
        <f t="shared" si="4"/>
        <v>2600000</v>
      </c>
      <c r="AK16" s="157" t="s">
        <v>134</v>
      </c>
      <c r="AL16" s="157" t="s">
        <v>134</v>
      </c>
      <c r="AM16" s="157" t="s">
        <v>134</v>
      </c>
      <c r="AN16" s="158" t="s">
        <v>135</v>
      </c>
      <c r="AO16" s="199"/>
      <c r="AP16" s="199"/>
      <c r="AQ16" s="199"/>
      <c r="AR16" s="138" t="b">
        <v>0</v>
      </c>
      <c r="AS16" s="149" t="b">
        <v>0</v>
      </c>
      <c r="AT16" s="157"/>
      <c r="AU16" s="157"/>
      <c r="AV16" s="157"/>
    </row>
    <row r="17">
      <c r="A17" s="103"/>
      <c r="B17" s="250">
        <v>45672.0</v>
      </c>
      <c r="C17" s="251" t="s">
        <v>190</v>
      </c>
      <c r="D17" s="252" t="s">
        <v>136</v>
      </c>
      <c r="E17" s="253" t="s">
        <v>205</v>
      </c>
      <c r="F17" s="251" t="s">
        <v>115</v>
      </c>
      <c r="G17" s="252" t="s">
        <v>192</v>
      </c>
      <c r="H17" s="166"/>
      <c r="I17" s="254" t="s">
        <v>206</v>
      </c>
      <c r="J17" s="254" t="s">
        <v>118</v>
      </c>
      <c r="K17" s="255" t="s">
        <v>207</v>
      </c>
      <c r="L17" s="256" t="s">
        <v>208</v>
      </c>
      <c r="M17" s="257"/>
      <c r="N17" s="258" t="s">
        <v>155</v>
      </c>
      <c r="O17" s="259" t="s">
        <v>209</v>
      </c>
      <c r="P17" s="260"/>
      <c r="Q17" s="261" t="s">
        <v>210</v>
      </c>
      <c r="R17" s="175">
        <f t="shared" si="1"/>
        <v>2</v>
      </c>
      <c r="S17" s="148">
        <v>45674.0</v>
      </c>
      <c r="T17" s="242">
        <v>45675.0</v>
      </c>
      <c r="U17" s="162" t="str">
        <f t="shared" si="2"/>
        <v>3 days</v>
      </c>
      <c r="V17" s="262">
        <v>45671.0</v>
      </c>
      <c r="W17" s="175" t="s">
        <v>211</v>
      </c>
      <c r="X17" s="259" t="s">
        <v>131</v>
      </c>
      <c r="Y17" s="263" t="s">
        <v>132</v>
      </c>
      <c r="Z17" s="172"/>
      <c r="AA17" s="264"/>
      <c r="AB17" s="162" t="b">
        <v>1</v>
      </c>
      <c r="AC17" s="175" t="b">
        <v>1</v>
      </c>
      <c r="AD17" s="175" t="b">
        <v>1</v>
      </c>
      <c r="AE17" s="180" t="b">
        <v>1</v>
      </c>
      <c r="AF17" s="181" t="b">
        <v>0</v>
      </c>
      <c r="AG17" s="180" t="b">
        <v>1</v>
      </c>
      <c r="AH17" s="166"/>
      <c r="AI17" s="265">
        <v>3500000.0</v>
      </c>
      <c r="AJ17" s="266">
        <f t="shared" si="4"/>
        <v>3500000</v>
      </c>
      <c r="AK17" s="251" t="s">
        <v>134</v>
      </c>
      <c r="AL17" s="251" t="s">
        <v>134</v>
      </c>
      <c r="AM17" s="251" t="s">
        <v>134</v>
      </c>
      <c r="AN17" s="267" t="s">
        <v>135</v>
      </c>
      <c r="AO17" s="268" t="s">
        <v>212</v>
      </c>
      <c r="AP17" s="269"/>
      <c r="AQ17" s="269"/>
      <c r="AR17" s="163" t="b">
        <v>0</v>
      </c>
      <c r="AS17" s="186" t="b">
        <v>0</v>
      </c>
      <c r="AT17" s="270"/>
      <c r="AU17" s="164"/>
      <c r="AV17" s="164"/>
    </row>
    <row r="18">
      <c r="A18" s="103"/>
      <c r="B18" s="135">
        <v>45670.0</v>
      </c>
      <c r="C18" s="136" t="s">
        <v>190</v>
      </c>
      <c r="D18" s="216" t="s">
        <v>136</v>
      </c>
      <c r="E18" s="217" t="s">
        <v>213</v>
      </c>
      <c r="F18" s="136" t="s">
        <v>115</v>
      </c>
      <c r="G18" s="216" t="s">
        <v>192</v>
      </c>
      <c r="H18" s="139"/>
      <c r="I18" s="218" t="s">
        <v>214</v>
      </c>
      <c r="J18" s="218" t="s">
        <v>118</v>
      </c>
      <c r="K18" s="245" t="s">
        <v>215</v>
      </c>
      <c r="L18" s="246" t="s">
        <v>216</v>
      </c>
      <c r="M18" s="222"/>
      <c r="N18" s="247" t="s">
        <v>119</v>
      </c>
      <c r="O18" s="224" t="s">
        <v>196</v>
      </c>
      <c r="P18" s="217">
        <v>65.0</v>
      </c>
      <c r="Q18" s="146" t="s">
        <v>217</v>
      </c>
      <c r="R18" s="147">
        <f t="shared" si="1"/>
        <v>1</v>
      </c>
      <c r="S18" s="148">
        <v>45679.0</v>
      </c>
      <c r="T18" s="239">
        <v>45679.0</v>
      </c>
      <c r="U18" s="137" t="str">
        <f t="shared" si="2"/>
        <v>9 days</v>
      </c>
      <c r="V18" s="226">
        <v>45670.0</v>
      </c>
      <c r="W18" s="147" t="s">
        <v>218</v>
      </c>
      <c r="X18" s="224" t="s">
        <v>131</v>
      </c>
      <c r="Y18" s="248" t="s">
        <v>132</v>
      </c>
      <c r="Z18" s="151"/>
      <c r="AA18" s="249"/>
      <c r="AB18" s="137" t="b">
        <v>1</v>
      </c>
      <c r="AC18" s="147" t="b">
        <v>1</v>
      </c>
      <c r="AD18" s="147" t="b">
        <v>1</v>
      </c>
      <c r="AE18" s="154" t="b">
        <v>1</v>
      </c>
      <c r="AF18" s="155" t="b">
        <v>0</v>
      </c>
      <c r="AG18" s="154" t="b">
        <v>1</v>
      </c>
      <c r="AH18" s="139"/>
      <c r="AI18" s="229">
        <v>1.43E7</v>
      </c>
      <c r="AJ18" s="156">
        <f t="shared" si="4"/>
        <v>14300000</v>
      </c>
      <c r="AK18" s="157" t="s">
        <v>134</v>
      </c>
      <c r="AL18" s="157" t="s">
        <v>134</v>
      </c>
      <c r="AM18" s="157" t="s">
        <v>134</v>
      </c>
      <c r="AN18" s="158" t="s">
        <v>135</v>
      </c>
      <c r="AO18" s="198" t="s">
        <v>219</v>
      </c>
      <c r="AP18" s="199"/>
      <c r="AQ18" s="199"/>
      <c r="AR18" s="138" t="b">
        <v>0</v>
      </c>
      <c r="AS18" s="149" t="b">
        <v>0</v>
      </c>
      <c r="AT18" s="157"/>
      <c r="AU18" s="157"/>
      <c r="AV18" s="157"/>
    </row>
    <row r="19">
      <c r="A19" s="103"/>
      <c r="B19" s="160">
        <v>45663.0</v>
      </c>
      <c r="C19" s="161" t="s">
        <v>113</v>
      </c>
      <c r="D19" s="200" t="s">
        <v>136</v>
      </c>
      <c r="E19" s="230"/>
      <c r="F19" s="161" t="s">
        <v>115</v>
      </c>
      <c r="G19" s="200" t="s">
        <v>116</v>
      </c>
      <c r="H19" s="166"/>
      <c r="I19" s="202" t="s">
        <v>220</v>
      </c>
      <c r="J19" s="202" t="s">
        <v>118</v>
      </c>
      <c r="K19" s="231" t="s">
        <v>221</v>
      </c>
      <c r="L19" s="232" t="s">
        <v>222</v>
      </c>
      <c r="M19" s="206"/>
      <c r="N19" s="233" t="s">
        <v>119</v>
      </c>
      <c r="O19" s="208" t="s">
        <v>120</v>
      </c>
      <c r="P19" s="230">
        <v>132.0</v>
      </c>
      <c r="Q19" s="234" t="s">
        <v>223</v>
      </c>
      <c r="R19" s="175">
        <f t="shared" si="1"/>
        <v>1</v>
      </c>
      <c r="S19" s="148">
        <v>45680.0</v>
      </c>
      <c r="T19" s="242">
        <v>45680.0</v>
      </c>
      <c r="U19" s="162" t="str">
        <f t="shared" si="2"/>
        <v>17 days</v>
      </c>
      <c r="V19" s="209">
        <v>45663.0</v>
      </c>
      <c r="W19" s="175" t="s">
        <v>224</v>
      </c>
      <c r="X19" s="271" t="s">
        <v>29</v>
      </c>
      <c r="Y19" s="235" t="s">
        <v>29</v>
      </c>
      <c r="Z19" s="172"/>
      <c r="AA19" s="211" t="s">
        <v>225</v>
      </c>
      <c r="AB19" s="162" t="b">
        <v>1</v>
      </c>
      <c r="AC19" s="272" t="b">
        <v>0</v>
      </c>
      <c r="AD19" s="272" t="b">
        <v>0</v>
      </c>
      <c r="AE19" s="181" t="b">
        <v>0</v>
      </c>
      <c r="AF19" s="181" t="b">
        <v>0</v>
      </c>
      <c r="AG19" s="180" t="b">
        <v>0</v>
      </c>
      <c r="AH19" s="166"/>
      <c r="AI19" s="212">
        <v>2.78388E7</v>
      </c>
      <c r="AJ19" s="213"/>
      <c r="AK19" s="164"/>
      <c r="AL19" s="164"/>
      <c r="AM19" s="164"/>
      <c r="AN19" s="184"/>
      <c r="AO19" s="185"/>
      <c r="AP19" s="185"/>
      <c r="AQ19" s="185"/>
      <c r="AR19" s="163" t="b">
        <v>0</v>
      </c>
      <c r="AS19" s="186" t="b">
        <v>0</v>
      </c>
      <c r="AT19" s="164"/>
      <c r="AU19" s="164"/>
      <c r="AV19" s="164"/>
    </row>
    <row r="20">
      <c r="A20" s="103"/>
      <c r="B20" s="135">
        <v>45668.0</v>
      </c>
      <c r="C20" s="136" t="s">
        <v>113</v>
      </c>
      <c r="D20" s="216" t="s">
        <v>136</v>
      </c>
      <c r="E20" s="217"/>
      <c r="F20" s="136" t="s">
        <v>153</v>
      </c>
      <c r="G20" s="216" t="s">
        <v>153</v>
      </c>
      <c r="H20" s="139"/>
      <c r="I20" s="218" t="s">
        <v>226</v>
      </c>
      <c r="J20" s="218" t="s">
        <v>118</v>
      </c>
      <c r="K20" s="245" t="s">
        <v>227</v>
      </c>
      <c r="L20" s="245" t="s">
        <v>228</v>
      </c>
      <c r="M20" s="222"/>
      <c r="N20" s="247" t="s">
        <v>182</v>
      </c>
      <c r="O20" s="224" t="s">
        <v>182</v>
      </c>
      <c r="P20" s="217">
        <v>250.0</v>
      </c>
      <c r="Q20" s="146" t="s">
        <v>229</v>
      </c>
      <c r="R20" s="147">
        <f t="shared" si="1"/>
        <v>2</v>
      </c>
      <c r="S20" s="148">
        <v>45681.0</v>
      </c>
      <c r="T20" s="239">
        <v>45682.0</v>
      </c>
      <c r="U20" s="137" t="str">
        <f t="shared" si="2"/>
        <v>15 days</v>
      </c>
      <c r="V20" s="226">
        <v>45666.0</v>
      </c>
      <c r="W20" s="147" t="s">
        <v>230</v>
      </c>
      <c r="X20" s="224" t="s">
        <v>29</v>
      </c>
      <c r="Y20" s="248" t="s">
        <v>29</v>
      </c>
      <c r="Z20" s="151"/>
      <c r="AA20" s="249" t="s">
        <v>123</v>
      </c>
      <c r="AB20" s="137" t="b">
        <v>1</v>
      </c>
      <c r="AC20" s="153" t="b">
        <v>0</v>
      </c>
      <c r="AD20" s="153" t="b">
        <v>0</v>
      </c>
      <c r="AE20" s="155" t="b">
        <v>0</v>
      </c>
      <c r="AF20" s="155" t="b">
        <v>0</v>
      </c>
      <c r="AG20" s="154" t="b">
        <v>0</v>
      </c>
      <c r="AH20" s="139"/>
      <c r="AI20" s="229">
        <v>3.0834823E7</v>
      </c>
      <c r="AJ20" s="156"/>
      <c r="AK20" s="157"/>
      <c r="AL20" s="157"/>
      <c r="AM20" s="157"/>
      <c r="AN20" s="158"/>
      <c r="AO20" s="199"/>
      <c r="AP20" s="199"/>
      <c r="AQ20" s="199"/>
      <c r="AR20" s="138" t="b">
        <v>0</v>
      </c>
      <c r="AS20" s="149" t="b">
        <v>0</v>
      </c>
      <c r="AT20" s="157"/>
      <c r="AU20" s="157"/>
      <c r="AV20" s="157"/>
    </row>
    <row r="21">
      <c r="A21" s="103"/>
      <c r="B21" s="160">
        <v>45671.0</v>
      </c>
      <c r="C21" s="161" t="s">
        <v>190</v>
      </c>
      <c r="D21" s="200" t="s">
        <v>136</v>
      </c>
      <c r="E21" s="230" t="s">
        <v>199</v>
      </c>
      <c r="F21" s="161" t="s">
        <v>115</v>
      </c>
      <c r="G21" s="200" t="s">
        <v>192</v>
      </c>
      <c r="H21" s="166"/>
      <c r="I21" s="202" t="s">
        <v>231</v>
      </c>
      <c r="J21" s="202" t="s">
        <v>118</v>
      </c>
      <c r="K21" s="231" t="s">
        <v>232</v>
      </c>
      <c r="L21" s="232" t="s">
        <v>233</v>
      </c>
      <c r="M21" s="206"/>
      <c r="N21" s="233" t="s">
        <v>119</v>
      </c>
      <c r="O21" s="208" t="s">
        <v>120</v>
      </c>
      <c r="P21" s="230">
        <v>35.0</v>
      </c>
      <c r="Q21" s="234" t="s">
        <v>203</v>
      </c>
      <c r="R21" s="175">
        <f t="shared" si="1"/>
        <v>1</v>
      </c>
      <c r="S21" s="148">
        <v>45682.0</v>
      </c>
      <c r="T21" s="242">
        <v>45682.0</v>
      </c>
      <c r="U21" s="162" t="str">
        <f t="shared" si="2"/>
        <v>11 days</v>
      </c>
      <c r="V21" s="209">
        <v>45671.0</v>
      </c>
      <c r="W21" s="175" t="s">
        <v>234</v>
      </c>
      <c r="X21" s="208" t="s">
        <v>131</v>
      </c>
      <c r="Y21" s="210" t="s">
        <v>132</v>
      </c>
      <c r="Z21" s="172"/>
      <c r="AA21" s="244"/>
      <c r="AB21" s="162" t="b">
        <v>1</v>
      </c>
      <c r="AC21" s="175" t="b">
        <v>1</v>
      </c>
      <c r="AD21" s="175" t="b">
        <v>1</v>
      </c>
      <c r="AE21" s="180" t="b">
        <v>1</v>
      </c>
      <c r="AF21" s="181" t="b">
        <v>0</v>
      </c>
      <c r="AG21" s="180" t="b">
        <v>1</v>
      </c>
      <c r="AH21" s="166"/>
      <c r="AI21" s="212">
        <v>3500000.0</v>
      </c>
      <c r="AJ21" s="213">
        <f t="shared" ref="AJ21:AJ22" si="5">AI21</f>
        <v>3500000</v>
      </c>
      <c r="AK21" s="164" t="s">
        <v>134</v>
      </c>
      <c r="AL21" s="164" t="s">
        <v>134</v>
      </c>
      <c r="AM21" s="164" t="s">
        <v>134</v>
      </c>
      <c r="AN21" s="184" t="s">
        <v>135</v>
      </c>
      <c r="AO21" s="236" t="s">
        <v>235</v>
      </c>
      <c r="AP21" s="185"/>
      <c r="AQ21" s="236" t="s">
        <v>236</v>
      </c>
      <c r="AR21" s="163" t="b">
        <v>1</v>
      </c>
      <c r="AS21" s="186" t="b">
        <v>0</v>
      </c>
      <c r="AT21" s="164"/>
      <c r="AU21" s="164"/>
      <c r="AV21" s="164"/>
    </row>
    <row r="22">
      <c r="A22" s="103"/>
      <c r="B22" s="135">
        <v>45671.0</v>
      </c>
      <c r="C22" s="136" t="s">
        <v>190</v>
      </c>
      <c r="D22" s="216" t="s">
        <v>136</v>
      </c>
      <c r="E22" s="217" t="s">
        <v>199</v>
      </c>
      <c r="F22" s="136" t="s">
        <v>115</v>
      </c>
      <c r="G22" s="216" t="s">
        <v>192</v>
      </c>
      <c r="H22" s="139"/>
      <c r="I22" s="218" t="s">
        <v>231</v>
      </c>
      <c r="J22" s="218" t="s">
        <v>118</v>
      </c>
      <c r="K22" s="245" t="s">
        <v>232</v>
      </c>
      <c r="L22" s="245" t="s">
        <v>237</v>
      </c>
      <c r="M22" s="222"/>
      <c r="N22" s="247" t="s">
        <v>119</v>
      </c>
      <c r="O22" s="224" t="s">
        <v>238</v>
      </c>
      <c r="P22" s="217">
        <v>35.0</v>
      </c>
      <c r="Q22" s="146" t="s">
        <v>203</v>
      </c>
      <c r="R22" s="147">
        <f t="shared" si="1"/>
        <v>2</v>
      </c>
      <c r="S22" s="148">
        <v>45682.0</v>
      </c>
      <c r="T22" s="239">
        <v>45683.0</v>
      </c>
      <c r="U22" s="137" t="str">
        <f t="shared" si="2"/>
        <v>11 days</v>
      </c>
      <c r="V22" s="226">
        <v>45671.0</v>
      </c>
      <c r="W22" s="147" t="s">
        <v>239</v>
      </c>
      <c r="X22" s="224" t="s">
        <v>131</v>
      </c>
      <c r="Y22" s="248" t="s">
        <v>132</v>
      </c>
      <c r="Z22" s="151"/>
      <c r="AA22" s="249"/>
      <c r="AB22" s="137" t="b">
        <v>1</v>
      </c>
      <c r="AC22" s="147" t="b">
        <v>1</v>
      </c>
      <c r="AD22" s="147" t="b">
        <v>1</v>
      </c>
      <c r="AE22" s="154" t="b">
        <v>1</v>
      </c>
      <c r="AF22" s="155" t="b">
        <v>0</v>
      </c>
      <c r="AG22" s="154" t="b">
        <v>1</v>
      </c>
      <c r="AH22" s="139"/>
      <c r="AI22" s="229">
        <v>4000000.0</v>
      </c>
      <c r="AJ22" s="156">
        <f t="shared" si="5"/>
        <v>4000000</v>
      </c>
      <c r="AK22" s="157" t="s">
        <v>134</v>
      </c>
      <c r="AL22" s="157" t="s">
        <v>134</v>
      </c>
      <c r="AM22" s="157" t="s">
        <v>134</v>
      </c>
      <c r="AN22" s="158" t="s">
        <v>135</v>
      </c>
      <c r="AO22" s="198" t="s">
        <v>235</v>
      </c>
      <c r="AP22" s="199"/>
      <c r="AQ22" s="198" t="s">
        <v>236</v>
      </c>
      <c r="AR22" s="138" t="b">
        <v>1</v>
      </c>
      <c r="AS22" s="149" t="b">
        <v>0</v>
      </c>
      <c r="AT22" s="157"/>
      <c r="AU22" s="157"/>
      <c r="AV22" s="157"/>
    </row>
    <row r="23">
      <c r="A23" s="103"/>
      <c r="B23" s="160">
        <v>45672.0</v>
      </c>
      <c r="C23" s="161" t="s">
        <v>113</v>
      </c>
      <c r="D23" s="200" t="s">
        <v>136</v>
      </c>
      <c r="E23" s="230"/>
      <c r="F23" s="161" t="s">
        <v>115</v>
      </c>
      <c r="G23" s="200" t="s">
        <v>162</v>
      </c>
      <c r="H23" s="166"/>
      <c r="I23" s="202" t="s">
        <v>240</v>
      </c>
      <c r="J23" s="202" t="s">
        <v>118</v>
      </c>
      <c r="K23" s="231" t="s">
        <v>241</v>
      </c>
      <c r="L23" s="232" t="s">
        <v>242</v>
      </c>
      <c r="M23" s="206"/>
      <c r="N23" s="233" t="s">
        <v>119</v>
      </c>
      <c r="O23" s="208" t="s">
        <v>138</v>
      </c>
      <c r="P23" s="230">
        <v>30.0</v>
      </c>
      <c r="Q23" s="234" t="s">
        <v>243</v>
      </c>
      <c r="R23" s="175">
        <f t="shared" si="1"/>
        <v>1</v>
      </c>
      <c r="S23" s="148">
        <v>45689.0</v>
      </c>
      <c r="T23" s="242">
        <v>45689.0</v>
      </c>
      <c r="U23" s="162" t="str">
        <f t="shared" si="2"/>
        <v>17 days</v>
      </c>
      <c r="V23" s="209">
        <v>45672.0</v>
      </c>
      <c r="W23" s="175" t="s">
        <v>244</v>
      </c>
      <c r="X23" s="208" t="s">
        <v>29</v>
      </c>
      <c r="Y23" s="210" t="s">
        <v>29</v>
      </c>
      <c r="Z23" s="172"/>
      <c r="AA23" s="244" t="s">
        <v>123</v>
      </c>
      <c r="AB23" s="162" t="b">
        <v>1</v>
      </c>
      <c r="AC23" s="272" t="b">
        <v>0</v>
      </c>
      <c r="AD23" s="272" t="b">
        <v>0</v>
      </c>
      <c r="AE23" s="181" t="b">
        <v>0</v>
      </c>
      <c r="AF23" s="181" t="b">
        <v>0</v>
      </c>
      <c r="AG23" s="180" t="b">
        <v>0</v>
      </c>
      <c r="AH23" s="166"/>
      <c r="AI23" s="212">
        <v>1.93695E7</v>
      </c>
      <c r="AJ23" s="213"/>
      <c r="AK23" s="164"/>
      <c r="AL23" s="164"/>
      <c r="AM23" s="164"/>
      <c r="AN23" s="184"/>
      <c r="AO23" s="185"/>
      <c r="AP23" s="185"/>
      <c r="AQ23" s="185"/>
      <c r="AR23" s="163" t="b">
        <v>0</v>
      </c>
      <c r="AS23" s="186" t="b">
        <v>0</v>
      </c>
      <c r="AT23" s="164"/>
      <c r="AU23" s="164"/>
      <c r="AV23" s="164"/>
    </row>
    <row r="24">
      <c r="A24" s="103"/>
      <c r="B24" s="135">
        <v>45681.0</v>
      </c>
      <c r="C24" s="136" t="s">
        <v>113</v>
      </c>
      <c r="D24" s="216" t="s">
        <v>143</v>
      </c>
      <c r="E24" s="217"/>
      <c r="F24" s="136" t="s">
        <v>115</v>
      </c>
      <c r="G24" s="216" t="s">
        <v>170</v>
      </c>
      <c r="H24" s="139"/>
      <c r="I24" s="273" t="s">
        <v>245</v>
      </c>
      <c r="J24" s="218" t="s">
        <v>146</v>
      </c>
      <c r="K24" s="274" t="s">
        <v>246</v>
      </c>
      <c r="L24" s="275" t="s">
        <v>247</v>
      </c>
      <c r="M24" s="222"/>
      <c r="N24" s="247" t="s">
        <v>119</v>
      </c>
      <c r="O24" s="224" t="s">
        <v>120</v>
      </c>
      <c r="P24" s="276">
        <v>20.0</v>
      </c>
      <c r="Q24" s="277" t="s">
        <v>248</v>
      </c>
      <c r="R24" s="147">
        <f t="shared" si="1"/>
        <v>1</v>
      </c>
      <c r="S24" s="148">
        <v>45689.0</v>
      </c>
      <c r="T24" s="239">
        <v>45689.0</v>
      </c>
      <c r="U24" s="137" t="str">
        <f t="shared" si="2"/>
        <v>8 days</v>
      </c>
      <c r="V24" s="226">
        <v>45681.0</v>
      </c>
      <c r="W24" s="147" t="s">
        <v>249</v>
      </c>
      <c r="X24" s="224" t="s">
        <v>29</v>
      </c>
      <c r="Y24" s="248" t="s">
        <v>29</v>
      </c>
      <c r="Z24" s="151"/>
      <c r="AA24" s="249" t="s">
        <v>123</v>
      </c>
      <c r="AB24" s="150" t="b">
        <v>0</v>
      </c>
      <c r="AC24" s="153" t="b">
        <v>0</v>
      </c>
      <c r="AD24" s="153" t="b">
        <v>0</v>
      </c>
      <c r="AE24" s="155" t="b">
        <v>0</v>
      </c>
      <c r="AF24" s="155" t="b">
        <v>0</v>
      </c>
      <c r="AG24" s="154" t="b">
        <v>0</v>
      </c>
      <c r="AH24" s="139"/>
      <c r="AI24" s="229">
        <v>9500000.0</v>
      </c>
      <c r="AJ24" s="156"/>
      <c r="AK24" s="157"/>
      <c r="AL24" s="157"/>
      <c r="AM24" s="157"/>
      <c r="AN24" s="158"/>
      <c r="AO24" s="199"/>
      <c r="AP24" s="199"/>
      <c r="AQ24" s="199"/>
      <c r="AR24" s="138" t="b">
        <v>0</v>
      </c>
      <c r="AS24" s="149" t="b">
        <v>0</v>
      </c>
      <c r="AT24" s="157"/>
      <c r="AU24" s="157"/>
      <c r="AV24" s="157"/>
    </row>
    <row r="25">
      <c r="A25" s="103"/>
      <c r="B25" s="160">
        <v>45666.0</v>
      </c>
      <c r="C25" s="161" t="s">
        <v>190</v>
      </c>
      <c r="D25" s="200" t="s">
        <v>250</v>
      </c>
      <c r="E25" s="230"/>
      <c r="F25" s="161" t="s">
        <v>115</v>
      </c>
      <c r="G25" s="200" t="s">
        <v>192</v>
      </c>
      <c r="H25" s="166"/>
      <c r="I25" s="202" t="s">
        <v>251</v>
      </c>
      <c r="J25" s="202" t="s">
        <v>118</v>
      </c>
      <c r="K25" s="231" t="s">
        <v>252</v>
      </c>
      <c r="L25" s="232" t="s">
        <v>253</v>
      </c>
      <c r="M25" s="206"/>
      <c r="N25" s="233" t="s">
        <v>119</v>
      </c>
      <c r="O25" s="208" t="s">
        <v>182</v>
      </c>
      <c r="P25" s="230"/>
      <c r="Q25" s="234" t="s">
        <v>254</v>
      </c>
      <c r="R25" s="175">
        <f t="shared" si="1"/>
        <v>2</v>
      </c>
      <c r="S25" s="148">
        <v>45691.0</v>
      </c>
      <c r="T25" s="242">
        <v>45692.0</v>
      </c>
      <c r="U25" s="162" t="str">
        <f t="shared" si="2"/>
        <v>25 days</v>
      </c>
      <c r="V25" s="209">
        <v>45666.0</v>
      </c>
      <c r="W25" s="175" t="s">
        <v>255</v>
      </c>
      <c r="X25" s="271" t="s">
        <v>131</v>
      </c>
      <c r="Y25" s="210" t="s">
        <v>132</v>
      </c>
      <c r="Z25" s="172"/>
      <c r="AA25" s="211" t="s">
        <v>133</v>
      </c>
      <c r="AB25" s="162" t="b">
        <v>1</v>
      </c>
      <c r="AC25" s="175" t="b">
        <v>1</v>
      </c>
      <c r="AD25" s="175" t="b">
        <v>1</v>
      </c>
      <c r="AE25" s="180" t="b">
        <v>1</v>
      </c>
      <c r="AF25" s="181" t="b">
        <v>0</v>
      </c>
      <c r="AG25" s="180" t="b">
        <v>1</v>
      </c>
      <c r="AH25" s="166"/>
      <c r="AI25" s="212">
        <v>3.915E7</v>
      </c>
      <c r="AJ25" s="213">
        <f t="shared" ref="AJ25:AJ28" si="6">AI25</f>
        <v>39150000</v>
      </c>
      <c r="AK25" s="164" t="s">
        <v>134</v>
      </c>
      <c r="AL25" s="164" t="s">
        <v>134</v>
      </c>
      <c r="AM25" s="164" t="s">
        <v>134</v>
      </c>
      <c r="AN25" s="184" t="s">
        <v>135</v>
      </c>
      <c r="AO25" s="185"/>
      <c r="AP25" s="185"/>
      <c r="AQ25" s="185"/>
      <c r="AR25" s="163" t="b">
        <v>0</v>
      </c>
      <c r="AS25" s="186" t="b">
        <v>0</v>
      </c>
      <c r="AT25" s="164"/>
      <c r="AU25" s="164"/>
      <c r="AV25" s="164"/>
    </row>
    <row r="26">
      <c r="A26" s="103"/>
      <c r="B26" s="278">
        <v>45553.0</v>
      </c>
      <c r="C26" s="279" t="s">
        <v>190</v>
      </c>
      <c r="D26" s="280" t="s">
        <v>250</v>
      </c>
      <c r="E26" s="281"/>
      <c r="F26" s="279" t="s">
        <v>256</v>
      </c>
      <c r="G26" s="280" t="s">
        <v>192</v>
      </c>
      <c r="H26" s="139"/>
      <c r="I26" s="282" t="s">
        <v>257</v>
      </c>
      <c r="J26" s="218" t="s">
        <v>258</v>
      </c>
      <c r="K26" s="283" t="s">
        <v>259</v>
      </c>
      <c r="L26" s="284" t="s">
        <v>260</v>
      </c>
      <c r="M26" s="285"/>
      <c r="N26" s="286" t="s">
        <v>261</v>
      </c>
      <c r="O26" s="287" t="s">
        <v>262</v>
      </c>
      <c r="P26" s="288">
        <v>91.0</v>
      </c>
      <c r="Q26" s="289" t="s">
        <v>263</v>
      </c>
      <c r="R26" s="147">
        <f t="shared" si="1"/>
        <v>1</v>
      </c>
      <c r="S26" s="148">
        <v>45693.0</v>
      </c>
      <c r="T26" s="239">
        <v>45693.0</v>
      </c>
      <c r="U26" s="137" t="str">
        <f t="shared" si="2"/>
        <v>140 days</v>
      </c>
      <c r="V26" s="290">
        <v>45553.0</v>
      </c>
      <c r="W26" s="147" t="s">
        <v>264</v>
      </c>
      <c r="X26" s="287" t="s">
        <v>131</v>
      </c>
      <c r="Y26" s="291" t="s">
        <v>132</v>
      </c>
      <c r="Z26" s="151"/>
      <c r="AA26" s="292"/>
      <c r="AB26" s="137" t="b">
        <v>1</v>
      </c>
      <c r="AC26" s="147" t="b">
        <v>1</v>
      </c>
      <c r="AD26" s="147" t="b">
        <v>1</v>
      </c>
      <c r="AE26" s="154" t="b">
        <v>1</v>
      </c>
      <c r="AF26" s="155" t="b">
        <v>0</v>
      </c>
      <c r="AG26" s="154" t="b">
        <v>1</v>
      </c>
      <c r="AH26" s="139"/>
      <c r="AI26" s="293">
        <v>3.71E7</v>
      </c>
      <c r="AJ26" s="156">
        <f t="shared" si="6"/>
        <v>37100000</v>
      </c>
      <c r="AK26" s="279" t="s">
        <v>134</v>
      </c>
      <c r="AL26" s="279" t="s">
        <v>134</v>
      </c>
      <c r="AM26" s="279" t="s">
        <v>134</v>
      </c>
      <c r="AN26" s="294" t="s">
        <v>135</v>
      </c>
      <c r="AO26" s="295" t="s">
        <v>265</v>
      </c>
      <c r="AP26" s="296"/>
      <c r="AQ26" s="295" t="s">
        <v>266</v>
      </c>
      <c r="AR26" s="138" t="b">
        <v>1</v>
      </c>
      <c r="AS26" s="149" t="b">
        <v>0</v>
      </c>
      <c r="AT26" s="297"/>
      <c r="AU26" s="157"/>
      <c r="AV26" s="157"/>
    </row>
    <row r="27">
      <c r="A27" s="103"/>
      <c r="B27" s="160">
        <v>45672.0</v>
      </c>
      <c r="C27" s="161" t="s">
        <v>113</v>
      </c>
      <c r="D27" s="200" t="s">
        <v>136</v>
      </c>
      <c r="E27" s="230" t="s">
        <v>267</v>
      </c>
      <c r="F27" s="161" t="s">
        <v>115</v>
      </c>
      <c r="G27" s="200" t="s">
        <v>116</v>
      </c>
      <c r="H27" s="166"/>
      <c r="I27" s="202" t="s">
        <v>268</v>
      </c>
      <c r="J27" s="202" t="s">
        <v>118</v>
      </c>
      <c r="K27" s="231" t="s">
        <v>269</v>
      </c>
      <c r="L27" s="232" t="s">
        <v>270</v>
      </c>
      <c r="M27" s="206"/>
      <c r="N27" s="233" t="s">
        <v>127</v>
      </c>
      <c r="O27" s="208" t="s">
        <v>128</v>
      </c>
      <c r="P27" s="230"/>
      <c r="Q27" s="234" t="s">
        <v>129</v>
      </c>
      <c r="R27" s="175">
        <f t="shared" si="1"/>
        <v>1</v>
      </c>
      <c r="S27" s="148">
        <v>45694.0</v>
      </c>
      <c r="T27" s="242">
        <v>45694.0</v>
      </c>
      <c r="U27" s="162" t="str">
        <f t="shared" si="2"/>
        <v>22 days</v>
      </c>
      <c r="V27" s="209">
        <v>45672.0</v>
      </c>
      <c r="W27" s="175" t="s">
        <v>271</v>
      </c>
      <c r="X27" s="208" t="s">
        <v>131</v>
      </c>
      <c r="Y27" s="210" t="s">
        <v>132</v>
      </c>
      <c r="Z27" s="172"/>
      <c r="AA27" s="244"/>
      <c r="AB27" s="162" t="b">
        <v>1</v>
      </c>
      <c r="AC27" s="175" t="b">
        <v>1</v>
      </c>
      <c r="AD27" s="175" t="b">
        <v>1</v>
      </c>
      <c r="AE27" s="180" t="b">
        <v>1</v>
      </c>
      <c r="AF27" s="181" t="b">
        <v>0</v>
      </c>
      <c r="AG27" s="180" t="b">
        <v>1</v>
      </c>
      <c r="AH27" s="166"/>
      <c r="AI27" s="212">
        <v>1.3E7</v>
      </c>
      <c r="AJ27" s="213">
        <f t="shared" si="6"/>
        <v>13000000</v>
      </c>
      <c r="AK27" s="164" t="s">
        <v>134</v>
      </c>
      <c r="AL27" s="164" t="s">
        <v>134</v>
      </c>
      <c r="AM27" s="164" t="s">
        <v>134</v>
      </c>
      <c r="AN27" s="184" t="s">
        <v>135</v>
      </c>
      <c r="AO27" s="185"/>
      <c r="AP27" s="185"/>
      <c r="AQ27" s="185"/>
      <c r="AR27" s="163" t="b">
        <v>0</v>
      </c>
      <c r="AS27" s="186" t="b">
        <v>0</v>
      </c>
      <c r="AT27" s="164"/>
      <c r="AU27" s="164"/>
      <c r="AV27" s="164"/>
    </row>
    <row r="28">
      <c r="A28" s="103"/>
      <c r="B28" s="135">
        <v>45678.0</v>
      </c>
      <c r="C28" s="136" t="s">
        <v>113</v>
      </c>
      <c r="D28" s="216" t="s">
        <v>250</v>
      </c>
      <c r="E28" s="217"/>
      <c r="F28" s="136" t="s">
        <v>170</v>
      </c>
      <c r="G28" s="216" t="s">
        <v>170</v>
      </c>
      <c r="H28" s="139"/>
      <c r="I28" s="298" t="s">
        <v>272</v>
      </c>
      <c r="J28" s="218" t="s">
        <v>118</v>
      </c>
      <c r="K28" s="274" t="s">
        <v>273</v>
      </c>
      <c r="L28" s="275" t="s">
        <v>274</v>
      </c>
      <c r="M28" s="222"/>
      <c r="N28" s="247" t="s">
        <v>182</v>
      </c>
      <c r="O28" s="224" t="s">
        <v>182</v>
      </c>
      <c r="P28" s="299"/>
      <c r="Q28" s="277" t="s">
        <v>275</v>
      </c>
      <c r="R28" s="147">
        <f t="shared" si="1"/>
        <v>2</v>
      </c>
      <c r="S28" s="148">
        <v>45694.0</v>
      </c>
      <c r="T28" s="239">
        <v>45695.0</v>
      </c>
      <c r="U28" s="137" t="str">
        <f t="shared" si="2"/>
        <v>16 days</v>
      </c>
      <c r="V28" s="226">
        <v>45678.0</v>
      </c>
      <c r="W28" s="147" t="s">
        <v>276</v>
      </c>
      <c r="X28" s="224" t="s">
        <v>131</v>
      </c>
      <c r="Y28" s="248" t="s">
        <v>132</v>
      </c>
      <c r="Z28" s="151"/>
      <c r="AA28" s="249"/>
      <c r="AB28" s="150" t="b">
        <v>0</v>
      </c>
      <c r="AC28" s="153" t="b">
        <v>0</v>
      </c>
      <c r="AD28" s="147" t="b">
        <v>1</v>
      </c>
      <c r="AE28" s="154" t="b">
        <v>1</v>
      </c>
      <c r="AF28" s="155" t="b">
        <v>0</v>
      </c>
      <c r="AG28" s="154" t="b">
        <v>1</v>
      </c>
      <c r="AH28" s="139"/>
      <c r="AI28" s="229">
        <v>5.1139176E7</v>
      </c>
      <c r="AJ28" s="156">
        <f t="shared" si="6"/>
        <v>51139176</v>
      </c>
      <c r="AK28" s="157" t="s">
        <v>134</v>
      </c>
      <c r="AL28" s="157" t="s">
        <v>134</v>
      </c>
      <c r="AM28" s="157" t="s">
        <v>134</v>
      </c>
      <c r="AN28" s="158" t="s">
        <v>135</v>
      </c>
      <c r="AO28" s="199"/>
      <c r="AP28" s="199"/>
      <c r="AQ28" s="199"/>
      <c r="AR28" s="138" t="b">
        <v>0</v>
      </c>
      <c r="AS28" s="149" t="b">
        <v>0</v>
      </c>
      <c r="AT28" s="157"/>
      <c r="AU28" s="157"/>
      <c r="AV28" s="157"/>
    </row>
    <row r="29">
      <c r="A29" s="103"/>
      <c r="B29" s="160">
        <v>45663.0</v>
      </c>
      <c r="C29" s="161" t="s">
        <v>113</v>
      </c>
      <c r="D29" s="200" t="s">
        <v>250</v>
      </c>
      <c r="E29" s="230"/>
      <c r="F29" s="161" t="s">
        <v>277</v>
      </c>
      <c r="G29" s="200" t="s">
        <v>162</v>
      </c>
      <c r="H29" s="166"/>
      <c r="I29" s="202" t="s">
        <v>278</v>
      </c>
      <c r="J29" s="203" t="s">
        <v>118</v>
      </c>
      <c r="K29" s="204" t="s">
        <v>279</v>
      </c>
      <c r="L29" s="300" t="s">
        <v>280</v>
      </c>
      <c r="M29" s="206"/>
      <c r="N29" s="233" t="s">
        <v>119</v>
      </c>
      <c r="O29" s="208" t="s">
        <v>120</v>
      </c>
      <c r="P29" s="230">
        <v>44.0</v>
      </c>
      <c r="Q29" s="174" t="s">
        <v>281</v>
      </c>
      <c r="R29" s="175">
        <f t="shared" si="1"/>
        <v>2</v>
      </c>
      <c r="S29" s="148">
        <v>45695.0</v>
      </c>
      <c r="T29" s="242">
        <v>45696.0</v>
      </c>
      <c r="U29" s="162" t="str">
        <f t="shared" si="2"/>
        <v>32 days</v>
      </c>
      <c r="V29" s="301">
        <v>45663.0</v>
      </c>
      <c r="W29" s="175" t="s">
        <v>282</v>
      </c>
      <c r="X29" s="271" t="s">
        <v>29</v>
      </c>
      <c r="Y29" s="210" t="s">
        <v>29</v>
      </c>
      <c r="Z29" s="172"/>
      <c r="AA29" s="211" t="s">
        <v>133</v>
      </c>
      <c r="AB29" s="302" t="b">
        <v>0</v>
      </c>
      <c r="AC29" s="272" t="b">
        <v>0</v>
      </c>
      <c r="AD29" s="272" t="b">
        <v>0</v>
      </c>
      <c r="AE29" s="180" t="b">
        <v>1</v>
      </c>
      <c r="AF29" s="181" t="b">
        <v>0</v>
      </c>
      <c r="AG29" s="180" t="b">
        <v>0</v>
      </c>
      <c r="AH29" s="166"/>
      <c r="AI29" s="212">
        <v>7.55799E7</v>
      </c>
      <c r="AJ29" s="213"/>
      <c r="AK29" s="164"/>
      <c r="AL29" s="164"/>
      <c r="AM29" s="164"/>
      <c r="AN29" s="184"/>
      <c r="AO29" s="185"/>
      <c r="AP29" s="185"/>
      <c r="AQ29" s="185"/>
      <c r="AR29" s="163" t="b">
        <v>0</v>
      </c>
      <c r="AS29" s="186" t="b">
        <v>0</v>
      </c>
      <c r="AT29" s="164"/>
      <c r="AU29" s="164"/>
      <c r="AV29" s="164"/>
    </row>
    <row r="30">
      <c r="A30" s="103"/>
      <c r="B30" s="135">
        <v>45668.0</v>
      </c>
      <c r="C30" s="136" t="s">
        <v>113</v>
      </c>
      <c r="D30" s="216" t="s">
        <v>114</v>
      </c>
      <c r="E30" s="217"/>
      <c r="F30" s="136" t="s">
        <v>115</v>
      </c>
      <c r="G30" s="216" t="s">
        <v>192</v>
      </c>
      <c r="H30" s="139"/>
      <c r="I30" s="218" t="s">
        <v>283</v>
      </c>
      <c r="J30" s="218" t="s">
        <v>118</v>
      </c>
      <c r="K30" s="245" t="s">
        <v>284</v>
      </c>
      <c r="L30" s="246" t="s">
        <v>285</v>
      </c>
      <c r="M30" s="222"/>
      <c r="N30" s="247" t="s">
        <v>119</v>
      </c>
      <c r="O30" s="224" t="s">
        <v>166</v>
      </c>
      <c r="P30" s="217">
        <v>93.0</v>
      </c>
      <c r="Q30" s="146" t="s">
        <v>129</v>
      </c>
      <c r="R30" s="147">
        <f t="shared" si="1"/>
        <v>2</v>
      </c>
      <c r="S30" s="148">
        <v>45695.0</v>
      </c>
      <c r="T30" s="239">
        <v>45696.0</v>
      </c>
      <c r="U30" s="137" t="str">
        <f t="shared" si="2"/>
        <v>27 days</v>
      </c>
      <c r="V30" s="226">
        <v>45668.0</v>
      </c>
      <c r="W30" s="147" t="s">
        <v>286</v>
      </c>
      <c r="X30" s="224" t="s">
        <v>29</v>
      </c>
      <c r="Y30" s="248" t="s">
        <v>29</v>
      </c>
      <c r="Z30" s="151"/>
      <c r="AA30" s="249" t="s">
        <v>123</v>
      </c>
      <c r="AB30" s="137" t="b">
        <v>1</v>
      </c>
      <c r="AC30" s="153" t="b">
        <v>0</v>
      </c>
      <c r="AD30" s="153" t="b">
        <v>0</v>
      </c>
      <c r="AE30" s="155" t="b">
        <v>0</v>
      </c>
      <c r="AF30" s="155" t="b">
        <v>0</v>
      </c>
      <c r="AG30" s="154" t="b">
        <v>0</v>
      </c>
      <c r="AH30" s="139"/>
      <c r="AI30" s="229">
        <v>4.26244995E8</v>
      </c>
      <c r="AJ30" s="156"/>
      <c r="AK30" s="157"/>
      <c r="AL30" s="157"/>
      <c r="AM30" s="157"/>
      <c r="AN30" s="158"/>
      <c r="AO30" s="199"/>
      <c r="AP30" s="199"/>
      <c r="AQ30" s="199"/>
      <c r="AR30" s="138" t="b">
        <v>0</v>
      </c>
      <c r="AS30" s="149" t="b">
        <v>0</v>
      </c>
      <c r="AT30" s="157"/>
      <c r="AU30" s="157"/>
      <c r="AV30" s="157"/>
    </row>
    <row r="31">
      <c r="A31" s="103"/>
      <c r="B31" s="250">
        <v>45660.0</v>
      </c>
      <c r="C31" s="251" t="s">
        <v>113</v>
      </c>
      <c r="D31" s="252" t="s">
        <v>52</v>
      </c>
      <c r="E31" s="260"/>
      <c r="F31" s="251" t="s">
        <v>287</v>
      </c>
      <c r="G31" s="252" t="s">
        <v>287</v>
      </c>
      <c r="H31" s="166"/>
      <c r="I31" s="254" t="s">
        <v>288</v>
      </c>
      <c r="J31" s="254" t="s">
        <v>118</v>
      </c>
      <c r="K31" s="255" t="s">
        <v>289</v>
      </c>
      <c r="L31" s="303"/>
      <c r="M31" s="257"/>
      <c r="N31" s="258" t="s">
        <v>119</v>
      </c>
      <c r="O31" s="259" t="s">
        <v>238</v>
      </c>
      <c r="P31" s="253">
        <v>20.0</v>
      </c>
      <c r="Q31" s="261" t="s">
        <v>290</v>
      </c>
      <c r="R31" s="175">
        <f t="shared" si="1"/>
        <v>2</v>
      </c>
      <c r="S31" s="148">
        <v>45696.0</v>
      </c>
      <c r="T31" s="242">
        <v>45697.0</v>
      </c>
      <c r="U31" s="162" t="str">
        <f t="shared" si="2"/>
        <v>36 days</v>
      </c>
      <c r="V31" s="262">
        <v>45660.0</v>
      </c>
      <c r="W31" s="175" t="s">
        <v>291</v>
      </c>
      <c r="X31" s="259" t="s">
        <v>29</v>
      </c>
      <c r="Y31" s="263" t="s">
        <v>29</v>
      </c>
      <c r="Z31" s="172"/>
      <c r="AA31" s="264"/>
      <c r="AB31" s="302" t="b">
        <v>0</v>
      </c>
      <c r="AC31" s="272" t="b">
        <v>0</v>
      </c>
      <c r="AD31" s="272" t="b">
        <v>0</v>
      </c>
      <c r="AE31" s="181" t="b">
        <v>0</v>
      </c>
      <c r="AF31" s="181" t="b">
        <v>0</v>
      </c>
      <c r="AG31" s="180" t="b">
        <v>0</v>
      </c>
      <c r="AH31" s="166"/>
      <c r="AI31" s="265">
        <v>3.63858E7</v>
      </c>
      <c r="AJ31" s="212"/>
      <c r="AK31" s="270"/>
      <c r="AL31" s="270"/>
      <c r="AM31" s="270"/>
      <c r="AN31" s="304"/>
      <c r="AO31" s="269"/>
      <c r="AP31" s="269"/>
      <c r="AQ31" s="269"/>
      <c r="AR31" s="163" t="b">
        <v>0</v>
      </c>
      <c r="AS31" s="186" t="b">
        <v>0</v>
      </c>
      <c r="AT31" s="270"/>
      <c r="AU31" s="164"/>
      <c r="AV31" s="164"/>
    </row>
    <row r="32">
      <c r="A32" s="103"/>
      <c r="B32" s="135">
        <v>45672.0</v>
      </c>
      <c r="C32" s="136" t="s">
        <v>113</v>
      </c>
      <c r="D32" s="216" t="s">
        <v>114</v>
      </c>
      <c r="E32" s="217"/>
      <c r="F32" s="136" t="s">
        <v>115</v>
      </c>
      <c r="G32" s="216" t="s">
        <v>170</v>
      </c>
      <c r="H32" s="139"/>
      <c r="I32" s="218" t="s">
        <v>292</v>
      </c>
      <c r="J32" s="218" t="s">
        <v>118</v>
      </c>
      <c r="K32" s="245" t="s">
        <v>293</v>
      </c>
      <c r="L32" s="246" t="s">
        <v>294</v>
      </c>
      <c r="M32" s="222"/>
      <c r="N32" s="247" t="s">
        <v>119</v>
      </c>
      <c r="O32" s="224" t="s">
        <v>174</v>
      </c>
      <c r="P32" s="217">
        <v>130.0</v>
      </c>
      <c r="Q32" s="146" t="s">
        <v>295</v>
      </c>
      <c r="R32" s="147">
        <f t="shared" si="1"/>
        <v>2</v>
      </c>
      <c r="S32" s="148">
        <v>45696.0</v>
      </c>
      <c r="T32" s="239">
        <v>45697.0</v>
      </c>
      <c r="U32" s="137" t="str">
        <f t="shared" si="2"/>
        <v>24 days</v>
      </c>
      <c r="V32" s="226">
        <v>45672.0</v>
      </c>
      <c r="W32" s="147" t="s">
        <v>296</v>
      </c>
      <c r="X32" s="224" t="s">
        <v>29</v>
      </c>
      <c r="Y32" s="248" t="s">
        <v>29</v>
      </c>
      <c r="Z32" s="151"/>
      <c r="AA32" s="249"/>
      <c r="AB32" s="137" t="b">
        <v>1</v>
      </c>
      <c r="AC32" s="153" t="b">
        <v>0</v>
      </c>
      <c r="AD32" s="153" t="b">
        <v>0</v>
      </c>
      <c r="AE32" s="155" t="b">
        <v>0</v>
      </c>
      <c r="AF32" s="155" t="b">
        <v>0</v>
      </c>
      <c r="AG32" s="154" t="b">
        <v>0</v>
      </c>
      <c r="AH32" s="139"/>
      <c r="AI32" s="229">
        <v>2.00069153E8</v>
      </c>
      <c r="AJ32" s="156"/>
      <c r="AK32" s="157"/>
      <c r="AL32" s="157"/>
      <c r="AM32" s="157"/>
      <c r="AN32" s="158"/>
      <c r="AO32" s="199"/>
      <c r="AP32" s="199"/>
      <c r="AQ32" s="199"/>
      <c r="AR32" s="138" t="b">
        <v>0</v>
      </c>
      <c r="AS32" s="149" t="b">
        <v>0</v>
      </c>
      <c r="AT32" s="157"/>
      <c r="AU32" s="157"/>
      <c r="AV32" s="157"/>
    </row>
    <row r="33">
      <c r="A33" s="103"/>
      <c r="B33" s="250">
        <v>45688.0</v>
      </c>
      <c r="C33" s="251" t="s">
        <v>190</v>
      </c>
      <c r="D33" s="252" t="s">
        <v>114</v>
      </c>
      <c r="E33" s="260"/>
      <c r="F33" s="251" t="s">
        <v>170</v>
      </c>
      <c r="G33" s="252" t="s">
        <v>170</v>
      </c>
      <c r="H33" s="166"/>
      <c r="I33" s="254" t="s">
        <v>297</v>
      </c>
      <c r="J33" s="254" t="s">
        <v>118</v>
      </c>
      <c r="K33" s="255" t="s">
        <v>298</v>
      </c>
      <c r="L33" s="256" t="s">
        <v>299</v>
      </c>
      <c r="M33" s="257"/>
      <c r="N33" s="258" t="s">
        <v>119</v>
      </c>
      <c r="O33" s="259" t="s">
        <v>120</v>
      </c>
      <c r="P33" s="253">
        <v>60.0</v>
      </c>
      <c r="Q33" s="261" t="s">
        <v>300</v>
      </c>
      <c r="R33" s="175">
        <f t="shared" si="1"/>
        <v>1</v>
      </c>
      <c r="S33" s="148">
        <v>45696.0</v>
      </c>
      <c r="T33" s="242">
        <v>45696.0</v>
      </c>
      <c r="U33" s="162" t="str">
        <f t="shared" si="2"/>
        <v>7 days</v>
      </c>
      <c r="V33" s="262">
        <v>45689.0</v>
      </c>
      <c r="W33" s="175" t="s">
        <v>301</v>
      </c>
      <c r="X33" s="259" t="s">
        <v>29</v>
      </c>
      <c r="Y33" s="263" t="s">
        <v>29</v>
      </c>
      <c r="Z33" s="172"/>
      <c r="AA33" s="305" t="s">
        <v>189</v>
      </c>
      <c r="AB33" s="302" t="b">
        <v>0</v>
      </c>
      <c r="AC33" s="272" t="b">
        <v>0</v>
      </c>
      <c r="AD33" s="272" t="b">
        <v>0</v>
      </c>
      <c r="AE33" s="181" t="b">
        <v>0</v>
      </c>
      <c r="AF33" s="181" t="b">
        <v>0</v>
      </c>
      <c r="AG33" s="180" t="b">
        <v>0</v>
      </c>
      <c r="AH33" s="166"/>
      <c r="AI33" s="265">
        <v>9000000.0</v>
      </c>
      <c r="AJ33" s="213"/>
      <c r="AK33" s="270"/>
      <c r="AL33" s="270"/>
      <c r="AM33" s="270"/>
      <c r="AN33" s="304"/>
      <c r="AO33" s="269"/>
      <c r="AP33" s="269"/>
      <c r="AQ33" s="269"/>
      <c r="AR33" s="163" t="b">
        <v>0</v>
      </c>
      <c r="AS33" s="186" t="b">
        <v>0</v>
      </c>
      <c r="AT33" s="270"/>
      <c r="AU33" s="164"/>
      <c r="AV33" s="164"/>
    </row>
    <row r="34">
      <c r="A34" s="103"/>
      <c r="B34" s="278">
        <v>45681.0</v>
      </c>
      <c r="C34" s="279" t="s">
        <v>113</v>
      </c>
      <c r="D34" s="280" t="s">
        <v>136</v>
      </c>
      <c r="E34" s="306" t="s">
        <v>302</v>
      </c>
      <c r="F34" s="279" t="s">
        <v>115</v>
      </c>
      <c r="G34" s="280" t="s">
        <v>192</v>
      </c>
      <c r="H34" s="139"/>
      <c r="I34" s="282" t="s">
        <v>303</v>
      </c>
      <c r="J34" s="218" t="s">
        <v>146</v>
      </c>
      <c r="K34" s="283" t="s">
        <v>304</v>
      </c>
      <c r="L34" s="284" t="s">
        <v>305</v>
      </c>
      <c r="M34" s="285"/>
      <c r="N34" s="286" t="s">
        <v>155</v>
      </c>
      <c r="O34" s="287" t="s">
        <v>306</v>
      </c>
      <c r="P34" s="288">
        <v>25.0</v>
      </c>
      <c r="Q34" s="289" t="s">
        <v>307</v>
      </c>
      <c r="R34" s="147">
        <f t="shared" si="1"/>
        <v>1</v>
      </c>
      <c r="S34" s="148">
        <v>45699.0</v>
      </c>
      <c r="T34" s="239">
        <v>45699.0</v>
      </c>
      <c r="U34" s="137" t="str">
        <f t="shared" si="2"/>
        <v>18 days</v>
      </c>
      <c r="V34" s="290">
        <v>45681.0</v>
      </c>
      <c r="W34" s="147" t="s">
        <v>308</v>
      </c>
      <c r="X34" s="287" t="s">
        <v>131</v>
      </c>
      <c r="Y34" s="291" t="s">
        <v>132</v>
      </c>
      <c r="Z34" s="307" t="s">
        <v>309</v>
      </c>
      <c r="AA34" s="292"/>
      <c r="AB34" s="137" t="b">
        <v>1</v>
      </c>
      <c r="AC34" s="147" t="b">
        <v>1</v>
      </c>
      <c r="AD34" s="147" t="b">
        <v>1</v>
      </c>
      <c r="AE34" s="154" t="b">
        <v>1</v>
      </c>
      <c r="AF34" s="155" t="b">
        <v>0</v>
      </c>
      <c r="AG34" s="154" t="b">
        <v>1</v>
      </c>
      <c r="AH34" s="139"/>
      <c r="AI34" s="293">
        <v>1.495725E7</v>
      </c>
      <c r="AJ34" s="156">
        <f t="shared" ref="AJ34:AJ35" si="7">AI34</f>
        <v>14957250</v>
      </c>
      <c r="AK34" s="279" t="s">
        <v>134</v>
      </c>
      <c r="AL34" s="279" t="s">
        <v>134</v>
      </c>
      <c r="AM34" s="279" t="s">
        <v>134</v>
      </c>
      <c r="AN34" s="294" t="s">
        <v>135</v>
      </c>
      <c r="AO34" s="295" t="s">
        <v>310</v>
      </c>
      <c r="AP34" s="296"/>
      <c r="AQ34" s="296"/>
      <c r="AR34" s="138" t="b">
        <v>1</v>
      </c>
      <c r="AS34" s="149" t="b">
        <v>0</v>
      </c>
      <c r="AT34" s="279" t="s">
        <v>311</v>
      </c>
      <c r="AU34" s="157"/>
      <c r="AV34" s="157"/>
    </row>
    <row r="35">
      <c r="A35" s="103"/>
      <c r="B35" s="160">
        <v>45666.0</v>
      </c>
      <c r="C35" s="161" t="s">
        <v>113</v>
      </c>
      <c r="D35" s="200" t="s">
        <v>250</v>
      </c>
      <c r="E35" s="230"/>
      <c r="F35" s="161" t="s">
        <v>115</v>
      </c>
      <c r="G35" s="200" t="s">
        <v>162</v>
      </c>
      <c r="H35" s="166"/>
      <c r="I35" s="202" t="s">
        <v>312</v>
      </c>
      <c r="J35" s="202" t="s">
        <v>118</v>
      </c>
      <c r="K35" s="231" t="s">
        <v>313</v>
      </c>
      <c r="L35" s="232" t="s">
        <v>314</v>
      </c>
      <c r="M35" s="206"/>
      <c r="N35" s="233" t="s">
        <v>119</v>
      </c>
      <c r="O35" s="208" t="s">
        <v>166</v>
      </c>
      <c r="P35" s="230">
        <v>120.0</v>
      </c>
      <c r="Q35" s="234" t="s">
        <v>315</v>
      </c>
      <c r="R35" s="175">
        <f t="shared" si="1"/>
        <v>2</v>
      </c>
      <c r="S35" s="148">
        <v>45700.0</v>
      </c>
      <c r="T35" s="242">
        <v>45701.0</v>
      </c>
      <c r="U35" s="162" t="str">
        <f t="shared" si="2"/>
        <v>34 days</v>
      </c>
      <c r="V35" s="209">
        <v>45666.0</v>
      </c>
      <c r="W35" s="175" t="s">
        <v>316</v>
      </c>
      <c r="X35" s="208" t="s">
        <v>131</v>
      </c>
      <c r="Y35" s="210" t="s">
        <v>132</v>
      </c>
      <c r="Z35" s="172"/>
      <c r="AA35" s="244" t="s">
        <v>133</v>
      </c>
      <c r="AB35" s="162" t="b">
        <v>1</v>
      </c>
      <c r="AC35" s="175" t="b">
        <v>1</v>
      </c>
      <c r="AD35" s="175" t="b">
        <v>1</v>
      </c>
      <c r="AE35" s="180" t="b">
        <v>1</v>
      </c>
      <c r="AF35" s="181" t="b">
        <v>0</v>
      </c>
      <c r="AG35" s="180" t="b">
        <v>1</v>
      </c>
      <c r="AH35" s="166"/>
      <c r="AI35" s="212">
        <v>2.5E7</v>
      </c>
      <c r="AJ35" s="213">
        <f t="shared" si="7"/>
        <v>25000000</v>
      </c>
      <c r="AK35" s="164" t="s">
        <v>134</v>
      </c>
      <c r="AL35" s="164" t="s">
        <v>134</v>
      </c>
      <c r="AM35" s="164" t="s">
        <v>134</v>
      </c>
      <c r="AN35" s="184" t="s">
        <v>135</v>
      </c>
      <c r="AO35" s="308" t="s">
        <v>317</v>
      </c>
      <c r="AP35" s="185"/>
      <c r="AQ35" s="236" t="s">
        <v>169</v>
      </c>
      <c r="AR35" s="163" t="b">
        <v>1</v>
      </c>
      <c r="AS35" s="186" t="b">
        <v>0</v>
      </c>
      <c r="AT35" s="164"/>
      <c r="AU35" s="164"/>
      <c r="AV35" s="164"/>
    </row>
    <row r="36">
      <c r="A36" s="103"/>
      <c r="B36" s="135">
        <v>45672.0</v>
      </c>
      <c r="C36" s="136" t="s">
        <v>113</v>
      </c>
      <c r="D36" s="216" t="s">
        <v>136</v>
      </c>
      <c r="E36" s="217"/>
      <c r="F36" s="136" t="s">
        <v>115</v>
      </c>
      <c r="G36" s="216" t="s">
        <v>116</v>
      </c>
      <c r="H36" s="139"/>
      <c r="I36" s="309" t="s">
        <v>318</v>
      </c>
      <c r="J36" s="218" t="s">
        <v>118</v>
      </c>
      <c r="K36" s="310" t="s">
        <v>319</v>
      </c>
      <c r="L36" s="311" t="s">
        <v>320</v>
      </c>
      <c r="M36" s="222"/>
      <c r="N36" s="247" t="s">
        <v>119</v>
      </c>
      <c r="O36" s="224" t="s">
        <v>238</v>
      </c>
      <c r="P36" s="312">
        <v>20.0</v>
      </c>
      <c r="Q36" s="309" t="s">
        <v>321</v>
      </c>
      <c r="R36" s="147">
        <f t="shared" si="1"/>
        <v>1</v>
      </c>
      <c r="S36" s="148">
        <v>45701.0</v>
      </c>
      <c r="T36" s="239">
        <v>45701.0</v>
      </c>
      <c r="U36" s="137" t="str">
        <f t="shared" si="2"/>
        <v>29 days</v>
      </c>
      <c r="V36" s="226">
        <v>45672.0</v>
      </c>
      <c r="W36" s="147" t="s">
        <v>322</v>
      </c>
      <c r="X36" s="224" t="s">
        <v>29</v>
      </c>
      <c r="Y36" s="248" t="s">
        <v>29</v>
      </c>
      <c r="Z36" s="151"/>
      <c r="AA36" s="249"/>
      <c r="AB36" s="137" t="b">
        <v>1</v>
      </c>
      <c r="AC36" s="153" t="b">
        <v>0</v>
      </c>
      <c r="AD36" s="153" t="b">
        <v>0</v>
      </c>
      <c r="AE36" s="155" t="b">
        <v>0</v>
      </c>
      <c r="AF36" s="155" t="b">
        <v>0</v>
      </c>
      <c r="AG36" s="154" t="b">
        <v>0</v>
      </c>
      <c r="AH36" s="139"/>
      <c r="AI36" s="229">
        <v>8000000.0</v>
      </c>
      <c r="AJ36" s="156"/>
      <c r="AK36" s="157"/>
      <c r="AL36" s="157"/>
      <c r="AM36" s="157"/>
      <c r="AN36" s="158"/>
      <c r="AO36" s="199"/>
      <c r="AP36" s="199"/>
      <c r="AQ36" s="199"/>
      <c r="AR36" s="138" t="b">
        <v>0</v>
      </c>
      <c r="AS36" s="149" t="b">
        <v>0</v>
      </c>
      <c r="AT36" s="157"/>
      <c r="AU36" s="157"/>
      <c r="AV36" s="157"/>
    </row>
    <row r="37">
      <c r="A37" s="103"/>
      <c r="B37" s="250">
        <v>45681.0</v>
      </c>
      <c r="C37" s="251" t="s">
        <v>113</v>
      </c>
      <c r="D37" s="252" t="s">
        <v>136</v>
      </c>
      <c r="E37" s="313" t="s">
        <v>302</v>
      </c>
      <c r="F37" s="251" t="s">
        <v>115</v>
      </c>
      <c r="G37" s="252" t="s">
        <v>192</v>
      </c>
      <c r="H37" s="166"/>
      <c r="I37" s="314" t="s">
        <v>323</v>
      </c>
      <c r="J37" s="202" t="s">
        <v>146</v>
      </c>
      <c r="K37" s="315" t="s">
        <v>304</v>
      </c>
      <c r="L37" s="316" t="s">
        <v>305</v>
      </c>
      <c r="M37" s="257"/>
      <c r="N37" s="258" t="s">
        <v>155</v>
      </c>
      <c r="O37" s="259" t="s">
        <v>306</v>
      </c>
      <c r="P37" s="317">
        <v>25.0</v>
      </c>
      <c r="Q37" s="315" t="s">
        <v>324</v>
      </c>
      <c r="R37" s="175">
        <f t="shared" si="1"/>
        <v>1</v>
      </c>
      <c r="S37" s="148">
        <v>45701.0</v>
      </c>
      <c r="T37" s="242">
        <v>45701.0</v>
      </c>
      <c r="U37" s="162" t="str">
        <f t="shared" si="2"/>
        <v>20 days</v>
      </c>
      <c r="V37" s="262">
        <v>45681.0</v>
      </c>
      <c r="W37" s="175" t="s">
        <v>325</v>
      </c>
      <c r="X37" s="259" t="s">
        <v>131</v>
      </c>
      <c r="Y37" s="263" t="s">
        <v>132</v>
      </c>
      <c r="Z37" s="318" t="s">
        <v>326</v>
      </c>
      <c r="AA37" s="264"/>
      <c r="AB37" s="162" t="b">
        <v>1</v>
      </c>
      <c r="AC37" s="175" t="b">
        <v>1</v>
      </c>
      <c r="AD37" s="175" t="b">
        <v>1</v>
      </c>
      <c r="AE37" s="180" t="b">
        <v>1</v>
      </c>
      <c r="AF37" s="181" t="b">
        <v>0</v>
      </c>
      <c r="AG37" s="180" t="b">
        <v>1</v>
      </c>
      <c r="AH37" s="166"/>
      <c r="AI37" s="265">
        <v>1.45299E7</v>
      </c>
      <c r="AJ37" s="213">
        <f>AI37</f>
        <v>14529900</v>
      </c>
      <c r="AK37" s="251" t="s">
        <v>134</v>
      </c>
      <c r="AL37" s="251" t="s">
        <v>134</v>
      </c>
      <c r="AM37" s="251" t="s">
        <v>134</v>
      </c>
      <c r="AN37" s="267" t="s">
        <v>135</v>
      </c>
      <c r="AO37" s="319" t="s">
        <v>327</v>
      </c>
      <c r="AP37" s="269"/>
      <c r="AQ37" s="269"/>
      <c r="AR37" s="163" t="b">
        <v>1</v>
      </c>
      <c r="AS37" s="186" t="b">
        <v>0</v>
      </c>
      <c r="AT37" s="251" t="s">
        <v>311</v>
      </c>
      <c r="AU37" s="164"/>
      <c r="AV37" s="164"/>
    </row>
    <row r="38">
      <c r="A38" s="103"/>
      <c r="B38" s="278">
        <v>45567.0</v>
      </c>
      <c r="C38" s="279" t="s">
        <v>113</v>
      </c>
      <c r="D38" s="280" t="s">
        <v>136</v>
      </c>
      <c r="E38" s="320"/>
      <c r="F38" s="279" t="s">
        <v>115</v>
      </c>
      <c r="G38" s="280" t="s">
        <v>116</v>
      </c>
      <c r="H38" s="139"/>
      <c r="I38" s="321" t="s">
        <v>328</v>
      </c>
      <c r="J38" s="322" t="s">
        <v>118</v>
      </c>
      <c r="K38" s="323" t="s">
        <v>329</v>
      </c>
      <c r="L38" s="324" t="s">
        <v>330</v>
      </c>
      <c r="M38" s="285"/>
      <c r="N38" s="286" t="s">
        <v>119</v>
      </c>
      <c r="O38" s="287" t="s">
        <v>238</v>
      </c>
      <c r="P38" s="325">
        <v>120.0</v>
      </c>
      <c r="Q38" s="321" t="s">
        <v>129</v>
      </c>
      <c r="R38" s="147">
        <f t="shared" si="1"/>
        <v>1</v>
      </c>
      <c r="S38" s="148">
        <v>45702.0</v>
      </c>
      <c r="T38" s="239">
        <v>45702.0</v>
      </c>
      <c r="U38" s="137" t="str">
        <f t="shared" si="2"/>
        <v>135 days</v>
      </c>
      <c r="V38" s="290">
        <v>45567.0</v>
      </c>
      <c r="W38" s="147" t="s">
        <v>331</v>
      </c>
      <c r="X38" s="287" t="s">
        <v>29</v>
      </c>
      <c r="Y38" s="291" t="s">
        <v>29</v>
      </c>
      <c r="Z38" s="151"/>
      <c r="AA38" s="292"/>
      <c r="AB38" s="150" t="b">
        <v>0</v>
      </c>
      <c r="AC38" s="153" t="b">
        <v>0</v>
      </c>
      <c r="AD38" s="153" t="b">
        <v>0</v>
      </c>
      <c r="AE38" s="155" t="b">
        <v>0</v>
      </c>
      <c r="AF38" s="155" t="b">
        <v>0</v>
      </c>
      <c r="AG38" s="154" t="b">
        <v>0</v>
      </c>
      <c r="AH38" s="139"/>
      <c r="AI38" s="293">
        <v>9.768E7</v>
      </c>
      <c r="AJ38" s="326"/>
      <c r="AK38" s="297"/>
      <c r="AL38" s="297"/>
      <c r="AM38" s="297"/>
      <c r="AN38" s="327"/>
      <c r="AO38" s="296"/>
      <c r="AP38" s="296"/>
      <c r="AQ38" s="296"/>
      <c r="AR38" s="138" t="b">
        <v>0</v>
      </c>
      <c r="AS38" s="149" t="b">
        <v>0</v>
      </c>
      <c r="AT38" s="297"/>
      <c r="AU38" s="157"/>
      <c r="AV38" s="157"/>
    </row>
    <row r="39">
      <c r="A39" s="103"/>
      <c r="B39" s="250">
        <v>45699.0</v>
      </c>
      <c r="C39" s="251" t="s">
        <v>113</v>
      </c>
      <c r="D39" s="252" t="s">
        <v>136</v>
      </c>
      <c r="E39" s="260"/>
      <c r="F39" s="251" t="s">
        <v>115</v>
      </c>
      <c r="G39" s="252" t="s">
        <v>162</v>
      </c>
      <c r="H39" s="166"/>
      <c r="I39" s="328" t="s">
        <v>332</v>
      </c>
      <c r="J39" s="254" t="s">
        <v>118</v>
      </c>
      <c r="K39" s="329" t="s">
        <v>333</v>
      </c>
      <c r="L39" s="330"/>
      <c r="M39" s="257"/>
      <c r="N39" s="258" t="s">
        <v>182</v>
      </c>
      <c r="O39" s="259" t="s">
        <v>182</v>
      </c>
      <c r="P39" s="331"/>
      <c r="Q39" s="332"/>
      <c r="R39" s="175">
        <f t="shared" si="1"/>
        <v>1</v>
      </c>
      <c r="S39" s="148">
        <v>45702.0</v>
      </c>
      <c r="T39" s="242">
        <v>45702.0</v>
      </c>
      <c r="U39" s="162" t="str">
        <f t="shared" si="2"/>
        <v>3 days</v>
      </c>
      <c r="V39" s="262">
        <v>45699.0</v>
      </c>
      <c r="W39" s="175" t="s">
        <v>334</v>
      </c>
      <c r="X39" s="259" t="s">
        <v>29</v>
      </c>
      <c r="Y39" s="263" t="s">
        <v>29</v>
      </c>
      <c r="Z39" s="172"/>
      <c r="AA39" s="264"/>
      <c r="AB39" s="162" t="b">
        <v>1</v>
      </c>
      <c r="AC39" s="272" t="b">
        <v>0</v>
      </c>
      <c r="AD39" s="272" t="b">
        <v>0</v>
      </c>
      <c r="AE39" s="181" t="b">
        <v>0</v>
      </c>
      <c r="AF39" s="181" t="b">
        <v>0</v>
      </c>
      <c r="AG39" s="180" t="b">
        <v>0</v>
      </c>
      <c r="AH39" s="166"/>
      <c r="AI39" s="265">
        <v>7104000.0</v>
      </c>
      <c r="AJ39" s="266"/>
      <c r="AK39" s="270"/>
      <c r="AL39" s="270"/>
      <c r="AM39" s="270"/>
      <c r="AN39" s="304"/>
      <c r="AO39" s="269"/>
      <c r="AP39" s="269"/>
      <c r="AQ39" s="269"/>
      <c r="AR39" s="163" t="b">
        <v>0</v>
      </c>
      <c r="AS39" s="186" t="b">
        <v>0</v>
      </c>
      <c r="AT39" s="270"/>
      <c r="AU39" s="270"/>
      <c r="AV39" s="270"/>
    </row>
    <row r="40">
      <c r="A40" s="103"/>
      <c r="B40" s="135">
        <v>45665.0</v>
      </c>
      <c r="C40" s="136" t="s">
        <v>113</v>
      </c>
      <c r="D40" s="216" t="s">
        <v>136</v>
      </c>
      <c r="E40" s="217" t="s">
        <v>213</v>
      </c>
      <c r="F40" s="136" t="s">
        <v>115</v>
      </c>
      <c r="G40" s="216" t="s">
        <v>192</v>
      </c>
      <c r="H40" s="139"/>
      <c r="I40" s="309" t="s">
        <v>335</v>
      </c>
      <c r="J40" s="218" t="s">
        <v>118</v>
      </c>
      <c r="K40" s="310" t="s">
        <v>336</v>
      </c>
      <c r="L40" s="311" t="s">
        <v>337</v>
      </c>
      <c r="M40" s="222"/>
      <c r="N40" s="247" t="s">
        <v>119</v>
      </c>
      <c r="O40" s="224" t="s">
        <v>182</v>
      </c>
      <c r="P40" s="312">
        <v>30.0</v>
      </c>
      <c r="Q40" s="309" t="s">
        <v>338</v>
      </c>
      <c r="R40" s="147">
        <f t="shared" si="1"/>
        <v>2</v>
      </c>
      <c r="S40" s="148">
        <v>45705.0</v>
      </c>
      <c r="T40" s="239">
        <v>45706.0</v>
      </c>
      <c r="U40" s="137" t="str">
        <f t="shared" si="2"/>
        <v>40 days</v>
      </c>
      <c r="V40" s="226">
        <v>45665.0</v>
      </c>
      <c r="W40" s="147" t="s">
        <v>339</v>
      </c>
      <c r="X40" s="224" t="s">
        <v>131</v>
      </c>
      <c r="Y40" s="248" t="s">
        <v>132</v>
      </c>
      <c r="Z40" s="151"/>
      <c r="AA40" s="249" t="s">
        <v>133</v>
      </c>
      <c r="AB40" s="137" t="b">
        <v>1</v>
      </c>
      <c r="AC40" s="147" t="b">
        <v>1</v>
      </c>
      <c r="AD40" s="147" t="b">
        <v>1</v>
      </c>
      <c r="AE40" s="154" t="b">
        <v>1</v>
      </c>
      <c r="AF40" s="155" t="b">
        <v>0</v>
      </c>
      <c r="AG40" s="154" t="b">
        <v>1</v>
      </c>
      <c r="AH40" s="139"/>
      <c r="AI40" s="229">
        <v>5.8E7</v>
      </c>
      <c r="AJ40" s="156">
        <f>AI40</f>
        <v>58000000</v>
      </c>
      <c r="AK40" s="157" t="s">
        <v>134</v>
      </c>
      <c r="AL40" s="157" t="s">
        <v>134</v>
      </c>
      <c r="AM40" s="157" t="s">
        <v>134</v>
      </c>
      <c r="AN40" s="158" t="s">
        <v>135</v>
      </c>
      <c r="AO40" s="198" t="s">
        <v>340</v>
      </c>
      <c r="AP40" s="199"/>
      <c r="AQ40" s="198" t="s">
        <v>341</v>
      </c>
      <c r="AR40" s="138" t="b">
        <v>1</v>
      </c>
      <c r="AS40" s="149" t="b">
        <v>0</v>
      </c>
      <c r="AT40" s="157"/>
      <c r="AU40" s="297"/>
      <c r="AV40" s="297"/>
    </row>
    <row r="41">
      <c r="A41" s="103"/>
      <c r="B41" s="250">
        <v>45683.0</v>
      </c>
      <c r="C41" s="161" t="s">
        <v>113</v>
      </c>
      <c r="D41" s="252" t="s">
        <v>136</v>
      </c>
      <c r="E41" s="260"/>
      <c r="F41" s="251" t="s">
        <v>115</v>
      </c>
      <c r="G41" s="252" t="s">
        <v>162</v>
      </c>
      <c r="H41" s="166"/>
      <c r="I41" s="314" t="s">
        <v>342</v>
      </c>
      <c r="J41" s="202" t="s">
        <v>118</v>
      </c>
      <c r="K41" s="315" t="s">
        <v>343</v>
      </c>
      <c r="L41" s="316" t="s">
        <v>344</v>
      </c>
      <c r="M41" s="257"/>
      <c r="N41" s="258" t="s">
        <v>345</v>
      </c>
      <c r="O41" s="259" t="s">
        <v>182</v>
      </c>
      <c r="P41" s="317">
        <v>50.0</v>
      </c>
      <c r="Q41" s="315" t="s">
        <v>346</v>
      </c>
      <c r="R41" s="175">
        <f t="shared" si="1"/>
        <v>3</v>
      </c>
      <c r="S41" s="148">
        <v>45705.0</v>
      </c>
      <c r="T41" s="242">
        <v>45707.0</v>
      </c>
      <c r="U41" s="162" t="str">
        <f t="shared" si="2"/>
        <v>22 days</v>
      </c>
      <c r="V41" s="262">
        <v>45683.0</v>
      </c>
      <c r="W41" s="175" t="s">
        <v>347</v>
      </c>
      <c r="X41" s="259" t="s">
        <v>29</v>
      </c>
      <c r="Y41" s="263" t="s">
        <v>29</v>
      </c>
      <c r="Z41" s="172"/>
      <c r="AA41" s="264"/>
      <c r="AB41" s="162" t="b">
        <v>1</v>
      </c>
      <c r="AC41" s="272" t="b">
        <v>0</v>
      </c>
      <c r="AD41" s="272" t="b">
        <v>0</v>
      </c>
      <c r="AE41" s="181" t="b">
        <v>0</v>
      </c>
      <c r="AF41" s="181" t="b">
        <v>0</v>
      </c>
      <c r="AG41" s="180" t="b">
        <v>0</v>
      </c>
      <c r="AH41" s="166"/>
      <c r="AI41" s="265" t="s">
        <v>348</v>
      </c>
      <c r="AJ41" s="213"/>
      <c r="AK41" s="270"/>
      <c r="AL41" s="270"/>
      <c r="AM41" s="270"/>
      <c r="AN41" s="304"/>
      <c r="AO41" s="269"/>
      <c r="AP41" s="269"/>
      <c r="AQ41" s="269"/>
      <c r="AR41" s="163" t="b">
        <v>0</v>
      </c>
      <c r="AS41" s="186" t="b">
        <v>0</v>
      </c>
      <c r="AT41" s="270"/>
      <c r="AU41" s="270"/>
      <c r="AV41" s="270"/>
    </row>
    <row r="42">
      <c r="A42" s="103"/>
      <c r="B42" s="135">
        <v>45645.0</v>
      </c>
      <c r="C42" s="136" t="s">
        <v>113</v>
      </c>
      <c r="D42" s="216" t="s">
        <v>114</v>
      </c>
      <c r="E42" s="312"/>
      <c r="F42" s="136" t="s">
        <v>115</v>
      </c>
      <c r="G42" s="216" t="s">
        <v>116</v>
      </c>
      <c r="H42" s="139"/>
      <c r="I42" s="309" t="s">
        <v>349</v>
      </c>
      <c r="J42" s="219" t="s">
        <v>118</v>
      </c>
      <c r="K42" s="310" t="s">
        <v>350</v>
      </c>
      <c r="L42" s="311" t="s">
        <v>351</v>
      </c>
      <c r="M42" s="222"/>
      <c r="N42" s="247" t="s">
        <v>182</v>
      </c>
      <c r="O42" s="224" t="s">
        <v>182</v>
      </c>
      <c r="P42" s="312"/>
      <c r="Q42" s="309" t="s">
        <v>352</v>
      </c>
      <c r="R42" s="147">
        <f t="shared" si="1"/>
        <v>1</v>
      </c>
      <c r="S42" s="148">
        <v>45708.0</v>
      </c>
      <c r="T42" s="239">
        <v>45708.0</v>
      </c>
      <c r="U42" s="137" t="str">
        <f t="shared" si="2"/>
        <v>63 days</v>
      </c>
      <c r="V42" s="226">
        <v>45645.0</v>
      </c>
      <c r="W42" s="147" t="s">
        <v>353</v>
      </c>
      <c r="X42" s="238" t="s">
        <v>131</v>
      </c>
      <c r="Y42" s="227" t="s">
        <v>132</v>
      </c>
      <c r="Z42" s="151"/>
      <c r="AA42" s="228" t="s">
        <v>133</v>
      </c>
      <c r="AB42" s="137" t="b">
        <v>1</v>
      </c>
      <c r="AC42" s="153" t="b">
        <v>0</v>
      </c>
      <c r="AD42" s="153" t="b">
        <v>0</v>
      </c>
      <c r="AE42" s="155" t="b">
        <v>0</v>
      </c>
      <c r="AF42" s="155" t="b">
        <v>0</v>
      </c>
      <c r="AG42" s="154" t="b">
        <v>1</v>
      </c>
      <c r="AH42" s="139"/>
      <c r="AI42" s="229">
        <v>8.965E7</v>
      </c>
      <c r="AJ42" s="156">
        <f t="shared" ref="AJ42:AJ44" si="8">AI42</f>
        <v>89650000</v>
      </c>
      <c r="AK42" s="157" t="s">
        <v>134</v>
      </c>
      <c r="AL42" s="157" t="s">
        <v>134</v>
      </c>
      <c r="AM42" s="157" t="s">
        <v>134</v>
      </c>
      <c r="AN42" s="158" t="s">
        <v>135</v>
      </c>
      <c r="AO42" s="198" t="s">
        <v>354</v>
      </c>
      <c r="AP42" s="199"/>
      <c r="AQ42" s="198" t="s">
        <v>355</v>
      </c>
      <c r="AR42" s="138" t="b">
        <v>1</v>
      </c>
      <c r="AS42" s="149" t="b">
        <v>0</v>
      </c>
      <c r="AT42" s="157"/>
      <c r="AU42" s="297"/>
      <c r="AV42" s="297"/>
    </row>
    <row r="43">
      <c r="A43" s="103"/>
      <c r="B43" s="250">
        <v>45677.0</v>
      </c>
      <c r="C43" s="251" t="s">
        <v>190</v>
      </c>
      <c r="D43" s="252" t="s">
        <v>250</v>
      </c>
      <c r="E43" s="333" t="s">
        <v>356</v>
      </c>
      <c r="F43" s="251" t="s">
        <v>357</v>
      </c>
      <c r="G43" s="252" t="s">
        <v>192</v>
      </c>
      <c r="H43" s="166"/>
      <c r="I43" s="328" t="s">
        <v>358</v>
      </c>
      <c r="J43" s="254" t="s">
        <v>258</v>
      </c>
      <c r="K43" s="329" t="s">
        <v>156</v>
      </c>
      <c r="L43" s="330"/>
      <c r="M43" s="257"/>
      <c r="N43" s="258" t="s">
        <v>261</v>
      </c>
      <c r="O43" s="259" t="s">
        <v>238</v>
      </c>
      <c r="P43" s="333">
        <v>450.0</v>
      </c>
      <c r="Q43" s="328" t="s">
        <v>359</v>
      </c>
      <c r="R43" s="175">
        <f t="shared" si="1"/>
        <v>1</v>
      </c>
      <c r="S43" s="148">
        <v>45708.0</v>
      </c>
      <c r="T43" s="242">
        <v>45708.0</v>
      </c>
      <c r="U43" s="162" t="str">
        <f t="shared" si="2"/>
        <v>28 days</v>
      </c>
      <c r="V43" s="262">
        <v>45680.0</v>
      </c>
      <c r="W43" s="175" t="s">
        <v>360</v>
      </c>
      <c r="X43" s="259" t="s">
        <v>131</v>
      </c>
      <c r="Y43" s="263" t="s">
        <v>132</v>
      </c>
      <c r="Z43" s="172"/>
      <c r="AA43" s="264"/>
      <c r="AB43" s="162" t="b">
        <v>1</v>
      </c>
      <c r="AC43" s="272" t="b">
        <v>0</v>
      </c>
      <c r="AD43" s="175" t="b">
        <v>1</v>
      </c>
      <c r="AE43" s="180" t="b">
        <v>1</v>
      </c>
      <c r="AF43" s="181" t="b">
        <v>0</v>
      </c>
      <c r="AG43" s="180" t="b">
        <v>0</v>
      </c>
      <c r="AH43" s="166"/>
      <c r="AI43" s="265">
        <v>1.266E8</v>
      </c>
      <c r="AJ43" s="266">
        <f t="shared" si="8"/>
        <v>126600000</v>
      </c>
      <c r="AK43" s="251" t="s">
        <v>134</v>
      </c>
      <c r="AL43" s="251" t="s">
        <v>134</v>
      </c>
      <c r="AM43" s="251" t="s">
        <v>134</v>
      </c>
      <c r="AN43" s="267" t="s">
        <v>135</v>
      </c>
      <c r="AO43" s="269"/>
      <c r="AP43" s="269"/>
      <c r="AQ43" s="269"/>
      <c r="AR43" s="163" t="b">
        <v>1</v>
      </c>
      <c r="AS43" s="186" t="b">
        <v>0</v>
      </c>
      <c r="AT43" s="270"/>
      <c r="AU43" s="270"/>
      <c r="AV43" s="270"/>
    </row>
    <row r="44">
      <c r="A44" s="103"/>
      <c r="B44" s="278">
        <v>45705.0</v>
      </c>
      <c r="C44" s="279" t="s">
        <v>190</v>
      </c>
      <c r="D44" s="280" t="s">
        <v>136</v>
      </c>
      <c r="E44" s="325" t="s">
        <v>361</v>
      </c>
      <c r="F44" s="279" t="s">
        <v>115</v>
      </c>
      <c r="G44" s="280" t="s">
        <v>192</v>
      </c>
      <c r="H44" s="139"/>
      <c r="I44" s="321" t="s">
        <v>362</v>
      </c>
      <c r="J44" s="322" t="s">
        <v>146</v>
      </c>
      <c r="K44" s="334"/>
      <c r="L44" s="334"/>
      <c r="M44" s="285"/>
      <c r="N44" s="286" t="s">
        <v>155</v>
      </c>
      <c r="O44" s="287" t="s">
        <v>196</v>
      </c>
      <c r="P44" s="325">
        <v>25.0</v>
      </c>
      <c r="Q44" s="321" t="s">
        <v>210</v>
      </c>
      <c r="R44" s="147">
        <f t="shared" si="1"/>
        <v>1</v>
      </c>
      <c r="S44" s="148">
        <v>45708.0</v>
      </c>
      <c r="T44" s="239">
        <v>45708.0</v>
      </c>
      <c r="U44" s="137" t="str">
        <f t="shared" si="2"/>
        <v>3 days</v>
      </c>
      <c r="V44" s="290">
        <v>45705.0</v>
      </c>
      <c r="W44" s="147" t="s">
        <v>363</v>
      </c>
      <c r="X44" s="287" t="s">
        <v>131</v>
      </c>
      <c r="Y44" s="291" t="s">
        <v>132</v>
      </c>
      <c r="Z44" s="151"/>
      <c r="AA44" s="292"/>
      <c r="AB44" s="137" t="b">
        <v>1</v>
      </c>
      <c r="AC44" s="147" t="b">
        <v>1</v>
      </c>
      <c r="AD44" s="147" t="b">
        <v>1</v>
      </c>
      <c r="AE44" s="154" t="b">
        <v>1</v>
      </c>
      <c r="AF44" s="155" t="b">
        <v>0</v>
      </c>
      <c r="AG44" s="154" t="b">
        <v>1</v>
      </c>
      <c r="AH44" s="139"/>
      <c r="AI44" s="293">
        <v>3125000.0</v>
      </c>
      <c r="AJ44" s="326">
        <f t="shared" si="8"/>
        <v>3125000</v>
      </c>
      <c r="AK44" s="279" t="s">
        <v>134</v>
      </c>
      <c r="AL44" s="279" t="s">
        <v>134</v>
      </c>
      <c r="AM44" s="279" t="s">
        <v>134</v>
      </c>
      <c r="AN44" s="294" t="s">
        <v>135</v>
      </c>
      <c r="AO44" s="296"/>
      <c r="AP44" s="296"/>
      <c r="AQ44" s="296"/>
      <c r="AR44" s="138" t="b">
        <v>0</v>
      </c>
      <c r="AS44" s="149" t="b">
        <v>0</v>
      </c>
      <c r="AT44" s="297"/>
      <c r="AU44" s="279"/>
      <c r="AV44" s="279"/>
    </row>
    <row r="45">
      <c r="A45" s="103"/>
      <c r="B45" s="160">
        <v>45663.0</v>
      </c>
      <c r="C45" s="161" t="s">
        <v>113</v>
      </c>
      <c r="D45" s="200" t="s">
        <v>250</v>
      </c>
      <c r="E45" s="335"/>
      <c r="F45" s="161" t="s">
        <v>115</v>
      </c>
      <c r="G45" s="200" t="s">
        <v>162</v>
      </c>
      <c r="H45" s="166"/>
      <c r="I45" s="336" t="s">
        <v>364</v>
      </c>
      <c r="J45" s="203" t="s">
        <v>118</v>
      </c>
      <c r="K45" s="337" t="s">
        <v>365</v>
      </c>
      <c r="L45" s="338" t="s">
        <v>366</v>
      </c>
      <c r="M45" s="206"/>
      <c r="N45" s="207" t="s">
        <v>119</v>
      </c>
      <c r="O45" s="208" t="s">
        <v>120</v>
      </c>
      <c r="P45" s="339">
        <v>180.0</v>
      </c>
      <c r="Q45" s="340" t="s">
        <v>367</v>
      </c>
      <c r="R45" s="175">
        <f t="shared" si="1"/>
        <v>2</v>
      </c>
      <c r="S45" s="148">
        <v>45709.0</v>
      </c>
      <c r="T45" s="242">
        <v>45710.0</v>
      </c>
      <c r="U45" s="162" t="str">
        <f t="shared" si="2"/>
        <v>46 days</v>
      </c>
      <c r="V45" s="209">
        <v>45663.0</v>
      </c>
      <c r="W45" s="175" t="s">
        <v>368</v>
      </c>
      <c r="X45" s="341" t="s">
        <v>29</v>
      </c>
      <c r="Y45" s="235" t="s">
        <v>29</v>
      </c>
      <c r="Z45" s="172"/>
      <c r="AA45" s="211" t="s">
        <v>133</v>
      </c>
      <c r="AB45" s="162" t="b">
        <v>1</v>
      </c>
      <c r="AC45" s="272" t="b">
        <v>0</v>
      </c>
      <c r="AD45" s="272" t="b">
        <v>0</v>
      </c>
      <c r="AE45" s="181" t="b">
        <v>0</v>
      </c>
      <c r="AF45" s="181" t="b">
        <v>0</v>
      </c>
      <c r="AG45" s="180" t="b">
        <v>0</v>
      </c>
      <c r="AH45" s="166"/>
      <c r="AI45" s="212">
        <v>1.00455E8</v>
      </c>
      <c r="AJ45" s="213"/>
      <c r="AK45" s="164"/>
      <c r="AL45" s="164"/>
      <c r="AM45" s="164"/>
      <c r="AN45" s="184"/>
      <c r="AO45" s="185"/>
      <c r="AP45" s="185"/>
      <c r="AQ45" s="185"/>
      <c r="AR45" s="163" t="b">
        <v>0</v>
      </c>
      <c r="AS45" s="186" t="b">
        <v>0</v>
      </c>
      <c r="AT45" s="164"/>
      <c r="AU45" s="251"/>
      <c r="AV45" s="251"/>
    </row>
    <row r="46">
      <c r="A46" s="103"/>
      <c r="B46" s="135">
        <v>45672.0</v>
      </c>
      <c r="C46" s="136" t="s">
        <v>113</v>
      </c>
      <c r="D46" s="216" t="s">
        <v>114</v>
      </c>
      <c r="E46" s="217"/>
      <c r="F46" s="136" t="s">
        <v>115</v>
      </c>
      <c r="G46" s="216" t="s">
        <v>170</v>
      </c>
      <c r="H46" s="139"/>
      <c r="I46" s="273" t="s">
        <v>369</v>
      </c>
      <c r="J46" s="218" t="s">
        <v>118</v>
      </c>
      <c r="K46" s="274" t="s">
        <v>370</v>
      </c>
      <c r="L46" s="275" t="s">
        <v>371</v>
      </c>
      <c r="M46" s="222"/>
      <c r="N46" s="247" t="s">
        <v>119</v>
      </c>
      <c r="O46" s="224" t="s">
        <v>372</v>
      </c>
      <c r="P46" s="276">
        <v>100.0</v>
      </c>
      <c r="Q46" s="277" t="s">
        <v>369</v>
      </c>
      <c r="R46" s="147">
        <f t="shared" si="1"/>
        <v>2</v>
      </c>
      <c r="S46" s="148">
        <v>45709.0</v>
      </c>
      <c r="T46" s="239">
        <v>45710.0</v>
      </c>
      <c r="U46" s="137" t="str">
        <f t="shared" si="2"/>
        <v>37 days</v>
      </c>
      <c r="V46" s="226">
        <v>45672.0</v>
      </c>
      <c r="W46" s="147" t="s">
        <v>373</v>
      </c>
      <c r="X46" s="224" t="s">
        <v>29</v>
      </c>
      <c r="Y46" s="248" t="s">
        <v>29</v>
      </c>
      <c r="Z46" s="151"/>
      <c r="AA46" s="249"/>
      <c r="AB46" s="150" t="b">
        <v>0</v>
      </c>
      <c r="AC46" s="153" t="b">
        <v>0</v>
      </c>
      <c r="AD46" s="153" t="b">
        <v>0</v>
      </c>
      <c r="AE46" s="155" t="b">
        <v>0</v>
      </c>
      <c r="AF46" s="155" t="b">
        <v>0</v>
      </c>
      <c r="AG46" s="154" t="b">
        <v>0</v>
      </c>
      <c r="AH46" s="139"/>
      <c r="AI46" s="229">
        <v>1.5E8</v>
      </c>
      <c r="AJ46" s="156"/>
      <c r="AK46" s="157"/>
      <c r="AL46" s="157"/>
      <c r="AM46" s="157"/>
      <c r="AN46" s="158"/>
      <c r="AO46" s="199"/>
      <c r="AP46" s="199"/>
      <c r="AQ46" s="199"/>
      <c r="AR46" s="138" t="b">
        <v>0</v>
      </c>
      <c r="AS46" s="149" t="b">
        <v>0</v>
      </c>
      <c r="AT46" s="157"/>
      <c r="AU46" s="297"/>
      <c r="AV46" s="297"/>
    </row>
    <row r="47">
      <c r="A47" s="103"/>
      <c r="B47" s="250">
        <v>45682.0</v>
      </c>
      <c r="C47" s="161" t="s">
        <v>113</v>
      </c>
      <c r="D47" s="252" t="s">
        <v>143</v>
      </c>
      <c r="E47" s="313" t="s">
        <v>374</v>
      </c>
      <c r="F47" s="251" t="s">
        <v>170</v>
      </c>
      <c r="G47" s="252" t="s">
        <v>170</v>
      </c>
      <c r="H47" s="166"/>
      <c r="I47" s="342" t="s">
        <v>375</v>
      </c>
      <c r="J47" s="202" t="s">
        <v>118</v>
      </c>
      <c r="K47" s="343"/>
      <c r="L47" s="343"/>
      <c r="M47" s="257"/>
      <c r="N47" s="258" t="s">
        <v>119</v>
      </c>
      <c r="O47" s="259" t="s">
        <v>120</v>
      </c>
      <c r="P47" s="344">
        <v>100.0</v>
      </c>
      <c r="Q47" s="345" t="s">
        <v>290</v>
      </c>
      <c r="R47" s="175">
        <f t="shared" si="1"/>
        <v>2</v>
      </c>
      <c r="S47" s="148">
        <v>45709.0</v>
      </c>
      <c r="T47" s="242">
        <v>45710.0</v>
      </c>
      <c r="U47" s="162" t="str">
        <f t="shared" si="2"/>
        <v>27 days</v>
      </c>
      <c r="V47" s="262">
        <v>45682.0</v>
      </c>
      <c r="W47" s="175" t="s">
        <v>376</v>
      </c>
      <c r="X47" s="259" t="s">
        <v>29</v>
      </c>
      <c r="Y47" s="263" t="s">
        <v>29</v>
      </c>
      <c r="Z47" s="172"/>
      <c r="AA47" s="305" t="s">
        <v>189</v>
      </c>
      <c r="AB47" s="302" t="b">
        <v>0</v>
      </c>
      <c r="AC47" s="272" t="b">
        <v>0</v>
      </c>
      <c r="AD47" s="272" t="b">
        <v>0</v>
      </c>
      <c r="AE47" s="181" t="b">
        <v>0</v>
      </c>
      <c r="AF47" s="181" t="b">
        <v>0</v>
      </c>
      <c r="AG47" s="180" t="b">
        <v>0</v>
      </c>
      <c r="AH47" s="166"/>
      <c r="AI47" s="265">
        <v>7.0E7</v>
      </c>
      <c r="AJ47" s="213"/>
      <c r="AK47" s="270"/>
      <c r="AL47" s="270"/>
      <c r="AM47" s="270"/>
      <c r="AN47" s="304"/>
      <c r="AO47" s="269"/>
      <c r="AP47" s="269"/>
      <c r="AQ47" s="269"/>
      <c r="AR47" s="163" t="b">
        <v>0</v>
      </c>
      <c r="AS47" s="186" t="b">
        <v>0</v>
      </c>
      <c r="AT47" s="270"/>
      <c r="AU47" s="270"/>
      <c r="AV47" s="270"/>
    </row>
    <row r="48">
      <c r="A48" s="103"/>
      <c r="B48" s="278">
        <v>45693.0</v>
      </c>
      <c r="C48" s="279" t="s">
        <v>113</v>
      </c>
      <c r="D48" s="280" t="s">
        <v>136</v>
      </c>
      <c r="E48" s="346" t="s">
        <v>377</v>
      </c>
      <c r="F48" s="279" t="s">
        <v>115</v>
      </c>
      <c r="G48" s="280" t="s">
        <v>116</v>
      </c>
      <c r="H48" s="139"/>
      <c r="I48" s="322" t="s">
        <v>378</v>
      </c>
      <c r="J48" s="322" t="s">
        <v>118</v>
      </c>
      <c r="K48" s="347" t="s">
        <v>379</v>
      </c>
      <c r="L48" s="348" t="s">
        <v>380</v>
      </c>
      <c r="M48" s="285"/>
      <c r="N48" s="286" t="s">
        <v>119</v>
      </c>
      <c r="O48" s="287" t="s">
        <v>120</v>
      </c>
      <c r="P48" s="346">
        <v>170.0</v>
      </c>
      <c r="Q48" s="349" t="s">
        <v>381</v>
      </c>
      <c r="R48" s="147">
        <f t="shared" si="1"/>
        <v>1</v>
      </c>
      <c r="S48" s="148">
        <v>45709.0</v>
      </c>
      <c r="T48" s="149">
        <v>45709.0</v>
      </c>
      <c r="U48" s="137" t="str">
        <f t="shared" si="2"/>
        <v>16 days</v>
      </c>
      <c r="V48" s="290">
        <v>45693.0</v>
      </c>
      <c r="W48" s="147" t="s">
        <v>382</v>
      </c>
      <c r="X48" s="287" t="s">
        <v>131</v>
      </c>
      <c r="Y48" s="291" t="s">
        <v>132</v>
      </c>
      <c r="Z48" s="151"/>
      <c r="AA48" s="292"/>
      <c r="AB48" s="137" t="b">
        <v>1</v>
      </c>
      <c r="AC48" s="147" t="b">
        <v>1</v>
      </c>
      <c r="AD48" s="147" t="b">
        <v>1</v>
      </c>
      <c r="AE48" s="155" t="b">
        <v>0</v>
      </c>
      <c r="AF48" s="155" t="b">
        <v>0</v>
      </c>
      <c r="AG48" s="154" t="b">
        <v>1</v>
      </c>
      <c r="AH48" s="139"/>
      <c r="AI48" s="293">
        <v>1.69275E8</v>
      </c>
      <c r="AJ48" s="326">
        <f t="shared" ref="AJ48:AJ54" si="9">AI48</f>
        <v>169275000</v>
      </c>
      <c r="AK48" s="279" t="s">
        <v>134</v>
      </c>
      <c r="AL48" s="279" t="s">
        <v>134</v>
      </c>
      <c r="AM48" s="297"/>
      <c r="AN48" s="327"/>
      <c r="AO48" s="295" t="s">
        <v>383</v>
      </c>
      <c r="AP48" s="296"/>
      <c r="AQ48" s="295" t="s">
        <v>384</v>
      </c>
      <c r="AR48" s="138" t="b">
        <v>1</v>
      </c>
      <c r="AS48" s="149" t="b">
        <v>0</v>
      </c>
      <c r="AT48" s="297"/>
      <c r="AU48" s="297"/>
      <c r="AV48" s="297"/>
    </row>
    <row r="49">
      <c r="A49" s="103"/>
      <c r="B49" s="250">
        <v>45695.0</v>
      </c>
      <c r="C49" s="251" t="s">
        <v>190</v>
      </c>
      <c r="D49" s="252" t="s">
        <v>136</v>
      </c>
      <c r="E49" s="253" t="s">
        <v>205</v>
      </c>
      <c r="F49" s="251" t="s">
        <v>115</v>
      </c>
      <c r="G49" s="252" t="s">
        <v>287</v>
      </c>
      <c r="H49" s="166"/>
      <c r="I49" s="254" t="s">
        <v>385</v>
      </c>
      <c r="J49" s="254" t="s">
        <v>118</v>
      </c>
      <c r="K49" s="255" t="s">
        <v>386</v>
      </c>
      <c r="L49" s="256" t="s">
        <v>387</v>
      </c>
      <c r="M49" s="257"/>
      <c r="N49" s="258" t="s">
        <v>119</v>
      </c>
      <c r="O49" s="259" t="s">
        <v>120</v>
      </c>
      <c r="P49" s="253">
        <v>31.0</v>
      </c>
      <c r="Q49" s="261" t="s">
        <v>210</v>
      </c>
      <c r="R49" s="175">
        <f t="shared" si="1"/>
        <v>1</v>
      </c>
      <c r="S49" s="148">
        <v>45709.0</v>
      </c>
      <c r="T49" s="242">
        <v>45709.0</v>
      </c>
      <c r="U49" s="162" t="str">
        <f t="shared" si="2"/>
        <v>13 days</v>
      </c>
      <c r="V49" s="262">
        <v>45696.0</v>
      </c>
      <c r="W49" s="175" t="s">
        <v>388</v>
      </c>
      <c r="X49" s="259" t="s">
        <v>131</v>
      </c>
      <c r="Y49" s="263" t="s">
        <v>132</v>
      </c>
      <c r="Z49" s="172"/>
      <c r="AA49" s="264"/>
      <c r="AB49" s="162" t="b">
        <v>1</v>
      </c>
      <c r="AC49" s="175" t="b">
        <v>1</v>
      </c>
      <c r="AD49" s="175" t="b">
        <v>1</v>
      </c>
      <c r="AE49" s="180" t="b">
        <v>1</v>
      </c>
      <c r="AF49" s="181" t="b">
        <v>0</v>
      </c>
      <c r="AG49" s="180" t="b">
        <v>1</v>
      </c>
      <c r="AH49" s="166"/>
      <c r="AI49" s="265">
        <v>3100000.0</v>
      </c>
      <c r="AJ49" s="266">
        <f t="shared" si="9"/>
        <v>3100000</v>
      </c>
      <c r="AK49" s="350" t="s">
        <v>134</v>
      </c>
      <c r="AL49" s="350" t="s">
        <v>134</v>
      </c>
      <c r="AM49" s="350" t="s">
        <v>134</v>
      </c>
      <c r="AN49" s="351" t="s">
        <v>135</v>
      </c>
      <c r="AO49" s="269"/>
      <c r="AP49" s="269"/>
      <c r="AQ49" s="269"/>
      <c r="AR49" s="163" t="b">
        <v>0</v>
      </c>
      <c r="AS49" s="186" t="b">
        <v>0</v>
      </c>
      <c r="AT49" s="270"/>
      <c r="AU49" s="270"/>
      <c r="AV49" s="270"/>
    </row>
    <row r="50">
      <c r="A50" s="103"/>
      <c r="B50" s="278">
        <v>45705.0</v>
      </c>
      <c r="C50" s="279" t="s">
        <v>190</v>
      </c>
      <c r="D50" s="280" t="s">
        <v>114</v>
      </c>
      <c r="E50" s="346" t="s">
        <v>205</v>
      </c>
      <c r="F50" s="279" t="s">
        <v>115</v>
      </c>
      <c r="G50" s="280" t="s">
        <v>192</v>
      </c>
      <c r="H50" s="139"/>
      <c r="I50" s="322" t="s">
        <v>385</v>
      </c>
      <c r="J50" s="322" t="s">
        <v>118</v>
      </c>
      <c r="K50" s="347" t="s">
        <v>386</v>
      </c>
      <c r="L50" s="348" t="s">
        <v>387</v>
      </c>
      <c r="M50" s="285"/>
      <c r="N50" s="286" t="s">
        <v>119</v>
      </c>
      <c r="O50" s="287" t="s">
        <v>238</v>
      </c>
      <c r="P50" s="346">
        <v>31.0</v>
      </c>
      <c r="Q50" s="349" t="s">
        <v>210</v>
      </c>
      <c r="R50" s="147">
        <f t="shared" si="1"/>
        <v>2</v>
      </c>
      <c r="S50" s="148">
        <v>45709.0</v>
      </c>
      <c r="T50" s="239">
        <v>45710.0</v>
      </c>
      <c r="U50" s="137" t="str">
        <f t="shared" si="2"/>
        <v>8 days</v>
      </c>
      <c r="V50" s="290">
        <v>45701.0</v>
      </c>
      <c r="W50" s="147" t="s">
        <v>389</v>
      </c>
      <c r="X50" s="287" t="s">
        <v>131</v>
      </c>
      <c r="Y50" s="291" t="s">
        <v>132</v>
      </c>
      <c r="Z50" s="151"/>
      <c r="AA50" s="292"/>
      <c r="AB50" s="137" t="b">
        <v>1</v>
      </c>
      <c r="AC50" s="147" t="b">
        <v>1</v>
      </c>
      <c r="AD50" s="147" t="b">
        <v>1</v>
      </c>
      <c r="AE50" s="154" t="b">
        <v>1</v>
      </c>
      <c r="AF50" s="155" t="b">
        <v>0</v>
      </c>
      <c r="AG50" s="154" t="b">
        <v>1</v>
      </c>
      <c r="AH50" s="139"/>
      <c r="AI50" s="293">
        <v>3000000.0</v>
      </c>
      <c r="AJ50" s="326">
        <f t="shared" si="9"/>
        <v>3000000</v>
      </c>
      <c r="AK50" s="279" t="s">
        <v>134</v>
      </c>
      <c r="AL50" s="279" t="s">
        <v>134</v>
      </c>
      <c r="AM50" s="279" t="s">
        <v>134</v>
      </c>
      <c r="AN50" s="294" t="s">
        <v>135</v>
      </c>
      <c r="AO50" s="295" t="s">
        <v>390</v>
      </c>
      <c r="AP50" s="296"/>
      <c r="AQ50" s="296"/>
      <c r="AR50" s="138" t="b">
        <v>0</v>
      </c>
      <c r="AS50" s="149" t="b">
        <v>0</v>
      </c>
      <c r="AT50" s="297"/>
      <c r="AU50" s="297"/>
      <c r="AV50" s="297"/>
    </row>
    <row r="51">
      <c r="A51" s="103"/>
      <c r="B51" s="250">
        <v>45760.0</v>
      </c>
      <c r="C51" s="251" t="s">
        <v>113</v>
      </c>
      <c r="D51" s="252" t="s">
        <v>136</v>
      </c>
      <c r="E51" s="260"/>
      <c r="F51" s="251" t="s">
        <v>115</v>
      </c>
      <c r="G51" s="252" t="s">
        <v>170</v>
      </c>
      <c r="H51" s="166"/>
      <c r="I51" s="254" t="s">
        <v>391</v>
      </c>
      <c r="J51" s="254" t="s">
        <v>118</v>
      </c>
      <c r="K51" s="255" t="s">
        <v>392</v>
      </c>
      <c r="L51" s="256" t="s">
        <v>393</v>
      </c>
      <c r="M51" s="257"/>
      <c r="N51" s="258" t="s">
        <v>119</v>
      </c>
      <c r="O51" s="259" t="s">
        <v>182</v>
      </c>
      <c r="P51" s="253">
        <v>114.0</v>
      </c>
      <c r="Q51" s="261" t="s">
        <v>394</v>
      </c>
      <c r="R51" s="175">
        <f t="shared" si="1"/>
        <v>1</v>
      </c>
      <c r="S51" s="148">
        <v>45709.0</v>
      </c>
      <c r="T51" s="242">
        <v>45709.0</v>
      </c>
      <c r="U51" s="162" t="str">
        <f t="shared" si="2"/>
        <v>8 days</v>
      </c>
      <c r="V51" s="262">
        <v>45701.0</v>
      </c>
      <c r="W51" s="175" t="s">
        <v>395</v>
      </c>
      <c r="X51" s="259" t="s">
        <v>131</v>
      </c>
      <c r="Y51" s="263" t="s">
        <v>132</v>
      </c>
      <c r="Z51" s="172"/>
      <c r="AA51" s="264"/>
      <c r="AB51" s="302" t="b">
        <v>0</v>
      </c>
      <c r="AC51" s="272" t="b">
        <v>0</v>
      </c>
      <c r="AD51" s="175" t="b">
        <v>0</v>
      </c>
      <c r="AE51" s="181" t="b">
        <v>0</v>
      </c>
      <c r="AF51" s="181" t="b">
        <v>0</v>
      </c>
      <c r="AG51" s="180" t="b">
        <v>1</v>
      </c>
      <c r="AH51" s="166"/>
      <c r="AI51" s="265">
        <v>3.4996913E7</v>
      </c>
      <c r="AJ51" s="266">
        <f t="shared" si="9"/>
        <v>34996913</v>
      </c>
      <c r="AK51" s="251" t="s">
        <v>134</v>
      </c>
      <c r="AL51" s="251" t="s">
        <v>134</v>
      </c>
      <c r="AM51" s="251" t="s">
        <v>134</v>
      </c>
      <c r="AN51" s="267" t="s">
        <v>135</v>
      </c>
      <c r="AO51" s="269"/>
      <c r="AP51" s="269"/>
      <c r="AQ51" s="269"/>
      <c r="AR51" s="163" t="b">
        <v>0</v>
      </c>
      <c r="AS51" s="186" t="b">
        <v>0</v>
      </c>
      <c r="AT51" s="270"/>
      <c r="AU51" s="270"/>
      <c r="AV51" s="270"/>
    </row>
    <row r="52">
      <c r="A52" s="103"/>
      <c r="B52" s="278">
        <v>45709.0</v>
      </c>
      <c r="C52" s="279" t="s">
        <v>190</v>
      </c>
      <c r="D52" s="280" t="s">
        <v>136</v>
      </c>
      <c r="E52" s="346" t="s">
        <v>205</v>
      </c>
      <c r="F52" s="279" t="s">
        <v>115</v>
      </c>
      <c r="G52" s="280" t="s">
        <v>192</v>
      </c>
      <c r="H52" s="139"/>
      <c r="I52" s="322" t="s">
        <v>396</v>
      </c>
      <c r="J52" s="322" t="s">
        <v>146</v>
      </c>
      <c r="K52" s="352"/>
      <c r="L52" s="352"/>
      <c r="M52" s="285"/>
      <c r="N52" s="286" t="s">
        <v>155</v>
      </c>
      <c r="O52" s="287" t="s">
        <v>120</v>
      </c>
      <c r="P52" s="346">
        <v>23.0</v>
      </c>
      <c r="Q52" s="349" t="s">
        <v>210</v>
      </c>
      <c r="R52" s="147">
        <f t="shared" si="1"/>
        <v>1</v>
      </c>
      <c r="S52" s="148">
        <v>45710.0</v>
      </c>
      <c r="T52" s="239">
        <v>45710.0</v>
      </c>
      <c r="U52" s="137" t="str">
        <f t="shared" si="2"/>
        <v>0 days</v>
      </c>
      <c r="V52" s="290">
        <v>45710.0</v>
      </c>
      <c r="W52" s="147" t="s">
        <v>397</v>
      </c>
      <c r="X52" s="287" t="s">
        <v>131</v>
      </c>
      <c r="Y52" s="291" t="s">
        <v>132</v>
      </c>
      <c r="Z52" s="151"/>
      <c r="AA52" s="292"/>
      <c r="AB52" s="137" t="b">
        <v>1</v>
      </c>
      <c r="AC52" s="147" t="b">
        <v>1</v>
      </c>
      <c r="AD52" s="147" t="b">
        <v>1</v>
      </c>
      <c r="AE52" s="154" t="b">
        <v>1</v>
      </c>
      <c r="AF52" s="155" t="b">
        <v>0</v>
      </c>
      <c r="AG52" s="154" t="b">
        <v>1</v>
      </c>
      <c r="AH52" s="139"/>
      <c r="AI52" s="293">
        <v>2300000.0</v>
      </c>
      <c r="AJ52" s="326">
        <f t="shared" si="9"/>
        <v>2300000</v>
      </c>
      <c r="AK52" s="279" t="s">
        <v>134</v>
      </c>
      <c r="AL52" s="279" t="s">
        <v>134</v>
      </c>
      <c r="AM52" s="279" t="s">
        <v>134</v>
      </c>
      <c r="AN52" s="294" t="s">
        <v>135</v>
      </c>
      <c r="AO52" s="296"/>
      <c r="AP52" s="296"/>
      <c r="AQ52" s="296"/>
      <c r="AR52" s="138" t="b">
        <v>0</v>
      </c>
      <c r="AS52" s="149" t="b">
        <v>0</v>
      </c>
      <c r="AT52" s="297"/>
      <c r="AU52" s="297"/>
      <c r="AV52" s="297"/>
    </row>
    <row r="53">
      <c r="A53" s="103"/>
      <c r="B53" s="250">
        <v>45695.0</v>
      </c>
      <c r="C53" s="251" t="s">
        <v>113</v>
      </c>
      <c r="D53" s="252" t="s">
        <v>136</v>
      </c>
      <c r="E53" s="253" t="s">
        <v>398</v>
      </c>
      <c r="F53" s="251" t="s">
        <v>115</v>
      </c>
      <c r="G53" s="252" t="s">
        <v>192</v>
      </c>
      <c r="H53" s="166"/>
      <c r="I53" s="254" t="s">
        <v>399</v>
      </c>
      <c r="J53" s="254" t="s">
        <v>118</v>
      </c>
      <c r="K53" s="255" t="s">
        <v>400</v>
      </c>
      <c r="L53" s="256" t="s">
        <v>401</v>
      </c>
      <c r="M53" s="257"/>
      <c r="N53" s="258" t="s">
        <v>119</v>
      </c>
      <c r="O53" s="259" t="s">
        <v>120</v>
      </c>
      <c r="P53" s="253">
        <v>110.0</v>
      </c>
      <c r="Q53" s="261" t="s">
        <v>402</v>
      </c>
      <c r="R53" s="175">
        <f t="shared" si="1"/>
        <v>1</v>
      </c>
      <c r="S53" s="148">
        <v>45711.0</v>
      </c>
      <c r="T53" s="242">
        <v>45711.0</v>
      </c>
      <c r="U53" s="162" t="str">
        <f t="shared" si="2"/>
        <v>16 days</v>
      </c>
      <c r="V53" s="262">
        <v>45695.0</v>
      </c>
      <c r="W53" s="175" t="s">
        <v>403</v>
      </c>
      <c r="X53" s="259" t="s">
        <v>131</v>
      </c>
      <c r="Y53" s="263" t="s">
        <v>132</v>
      </c>
      <c r="Z53" s="318" t="s">
        <v>404</v>
      </c>
      <c r="AA53" s="264"/>
      <c r="AB53" s="162" t="b">
        <v>1</v>
      </c>
      <c r="AC53" s="175" t="b">
        <v>1</v>
      </c>
      <c r="AD53" s="175" t="b">
        <v>1</v>
      </c>
      <c r="AE53" s="180" t="b">
        <v>1</v>
      </c>
      <c r="AF53" s="181" t="b">
        <v>0</v>
      </c>
      <c r="AG53" s="180" t="b">
        <v>1</v>
      </c>
      <c r="AH53" s="166"/>
      <c r="AI53" s="265">
        <v>3.34998E7</v>
      </c>
      <c r="AJ53" s="213">
        <f t="shared" si="9"/>
        <v>33499800</v>
      </c>
      <c r="AK53" s="251" t="s">
        <v>134</v>
      </c>
      <c r="AL53" s="251" t="s">
        <v>134</v>
      </c>
      <c r="AM53" s="251" t="s">
        <v>134</v>
      </c>
      <c r="AN53" s="267" t="s">
        <v>135</v>
      </c>
      <c r="AO53" s="269"/>
      <c r="AP53" s="269"/>
      <c r="AQ53" s="269"/>
      <c r="AR53" s="163" t="b">
        <v>1</v>
      </c>
      <c r="AS53" s="186" t="b">
        <v>0</v>
      </c>
      <c r="AT53" s="270"/>
      <c r="AU53" s="270"/>
      <c r="AV53" s="270"/>
    </row>
    <row r="54">
      <c r="A54" s="103"/>
      <c r="B54" s="278">
        <v>45710.0</v>
      </c>
      <c r="C54" s="279" t="s">
        <v>113</v>
      </c>
      <c r="D54" s="280" t="s">
        <v>136</v>
      </c>
      <c r="E54" s="320"/>
      <c r="F54" s="279" t="s">
        <v>115</v>
      </c>
      <c r="G54" s="280" t="s">
        <v>192</v>
      </c>
      <c r="H54" s="139"/>
      <c r="I54" s="322" t="s">
        <v>405</v>
      </c>
      <c r="J54" s="322" t="s">
        <v>118</v>
      </c>
      <c r="K54" s="347" t="s">
        <v>400</v>
      </c>
      <c r="L54" s="348" t="s">
        <v>401</v>
      </c>
      <c r="M54" s="285"/>
      <c r="N54" s="286" t="s">
        <v>182</v>
      </c>
      <c r="O54" s="287" t="s">
        <v>182</v>
      </c>
      <c r="P54" s="346">
        <v>86.0</v>
      </c>
      <c r="Q54" s="349" t="s">
        <v>187</v>
      </c>
      <c r="R54" s="147">
        <f t="shared" si="1"/>
        <v>3</v>
      </c>
      <c r="S54" s="148">
        <v>45711.0</v>
      </c>
      <c r="T54" s="239">
        <v>45713.0</v>
      </c>
      <c r="U54" s="137" t="str">
        <f t="shared" si="2"/>
        <v>1 days</v>
      </c>
      <c r="V54" s="290">
        <v>45710.0</v>
      </c>
      <c r="W54" s="147" t="s">
        <v>406</v>
      </c>
      <c r="X54" s="287" t="s">
        <v>131</v>
      </c>
      <c r="Y54" s="291" t="s">
        <v>132</v>
      </c>
      <c r="Z54" s="151"/>
      <c r="AA54" s="292"/>
      <c r="AB54" s="137" t="b">
        <v>1</v>
      </c>
      <c r="AC54" s="147" t="b">
        <v>1</v>
      </c>
      <c r="AD54" s="147" t="b">
        <v>1</v>
      </c>
      <c r="AE54" s="154" t="b">
        <v>1</v>
      </c>
      <c r="AF54" s="155" t="b">
        <v>0</v>
      </c>
      <c r="AG54" s="154" t="b">
        <v>0</v>
      </c>
      <c r="AH54" s="139"/>
      <c r="AI54" s="353">
        <v>2800000.0</v>
      </c>
      <c r="AJ54" s="354">
        <f t="shared" si="9"/>
        <v>2800000</v>
      </c>
      <c r="AK54" s="279" t="s">
        <v>134</v>
      </c>
      <c r="AL54" s="279" t="s">
        <v>134</v>
      </c>
      <c r="AM54" s="279" t="s">
        <v>134</v>
      </c>
      <c r="AN54" s="294" t="s">
        <v>135</v>
      </c>
      <c r="AO54" s="295" t="s">
        <v>407</v>
      </c>
      <c r="AP54" s="296"/>
      <c r="AQ54" s="296"/>
      <c r="AR54" s="138" t="b">
        <v>0</v>
      </c>
      <c r="AS54" s="149" t="b">
        <v>0</v>
      </c>
      <c r="AT54" s="297"/>
      <c r="AU54" s="297"/>
      <c r="AV54" s="297"/>
    </row>
    <row r="55">
      <c r="A55" s="103"/>
      <c r="B55" s="250">
        <v>45698.0</v>
      </c>
      <c r="C55" s="251" t="s">
        <v>113</v>
      </c>
      <c r="D55" s="252" t="s">
        <v>114</v>
      </c>
      <c r="E55" s="260"/>
      <c r="F55" s="251" t="s">
        <v>115</v>
      </c>
      <c r="G55" s="252" t="s">
        <v>287</v>
      </c>
      <c r="H55" s="166"/>
      <c r="I55" s="254" t="s">
        <v>408</v>
      </c>
      <c r="J55" s="254" t="s">
        <v>118</v>
      </c>
      <c r="K55" s="255" t="s">
        <v>409</v>
      </c>
      <c r="L55" s="256" t="s">
        <v>410</v>
      </c>
      <c r="M55" s="257"/>
      <c r="N55" s="258" t="s">
        <v>119</v>
      </c>
      <c r="O55" s="259" t="s">
        <v>138</v>
      </c>
      <c r="P55" s="253">
        <v>24.0</v>
      </c>
      <c r="Q55" s="261" t="s">
        <v>139</v>
      </c>
      <c r="R55" s="175">
        <f t="shared" si="1"/>
        <v>4</v>
      </c>
      <c r="S55" s="148">
        <v>45713.0</v>
      </c>
      <c r="T55" s="242">
        <v>45716.0</v>
      </c>
      <c r="U55" s="162" t="str">
        <f t="shared" si="2"/>
        <v>15 days</v>
      </c>
      <c r="V55" s="262">
        <v>45698.0</v>
      </c>
      <c r="W55" s="175" t="s">
        <v>411</v>
      </c>
      <c r="X55" s="259" t="s">
        <v>29</v>
      </c>
      <c r="Y55" s="263" t="s">
        <v>29</v>
      </c>
      <c r="Z55" s="172"/>
      <c r="AA55" s="264"/>
      <c r="AB55" s="302" t="b">
        <v>0</v>
      </c>
      <c r="AC55" s="272" t="b">
        <v>0</v>
      </c>
      <c r="AD55" s="272" t="b">
        <v>0</v>
      </c>
      <c r="AE55" s="181" t="b">
        <v>0</v>
      </c>
      <c r="AF55" s="181" t="b">
        <v>0</v>
      </c>
      <c r="AG55" s="180" t="b">
        <v>0</v>
      </c>
      <c r="AH55" s="166"/>
      <c r="AI55" s="265">
        <v>1.2645E7</v>
      </c>
      <c r="AJ55" s="266"/>
      <c r="AK55" s="270"/>
      <c r="AL55" s="270"/>
      <c r="AM55" s="270"/>
      <c r="AN55" s="304"/>
      <c r="AO55" s="269"/>
      <c r="AP55" s="269"/>
      <c r="AQ55" s="269"/>
      <c r="AR55" s="163" t="b">
        <v>0</v>
      </c>
      <c r="AS55" s="186" t="b">
        <v>0</v>
      </c>
      <c r="AT55" s="270"/>
      <c r="AU55" s="270"/>
      <c r="AV55" s="270"/>
    </row>
    <row r="56">
      <c r="A56" s="103"/>
      <c r="B56" s="278">
        <v>45705.0</v>
      </c>
      <c r="C56" s="279" t="s">
        <v>113</v>
      </c>
      <c r="D56" s="280" t="s">
        <v>136</v>
      </c>
      <c r="E56" s="320"/>
      <c r="F56" s="279" t="s">
        <v>115</v>
      </c>
      <c r="G56" s="280" t="s">
        <v>162</v>
      </c>
      <c r="H56" s="139"/>
      <c r="I56" s="322" t="s">
        <v>412</v>
      </c>
      <c r="J56" s="322" t="s">
        <v>118</v>
      </c>
      <c r="K56" s="347" t="s">
        <v>413</v>
      </c>
      <c r="L56" s="348" t="s">
        <v>414</v>
      </c>
      <c r="M56" s="285"/>
      <c r="N56" s="286" t="s">
        <v>119</v>
      </c>
      <c r="O56" s="287" t="s">
        <v>120</v>
      </c>
      <c r="P56" s="346">
        <v>30.0</v>
      </c>
      <c r="Q56" s="349" t="s">
        <v>415</v>
      </c>
      <c r="R56" s="147">
        <f t="shared" si="1"/>
        <v>1</v>
      </c>
      <c r="S56" s="148">
        <v>45714.0</v>
      </c>
      <c r="T56" s="239">
        <v>45714.0</v>
      </c>
      <c r="U56" s="137" t="str">
        <f t="shared" si="2"/>
        <v>9 days</v>
      </c>
      <c r="V56" s="290">
        <v>45705.0</v>
      </c>
      <c r="W56" s="147" t="s">
        <v>416</v>
      </c>
      <c r="X56" s="287" t="s">
        <v>29</v>
      </c>
      <c r="Y56" s="291" t="s">
        <v>29</v>
      </c>
      <c r="Z56" s="151"/>
      <c r="AA56" s="355" t="s">
        <v>189</v>
      </c>
      <c r="AB56" s="137" t="b">
        <v>1</v>
      </c>
      <c r="AC56" s="147" t="b">
        <v>1</v>
      </c>
      <c r="AD56" s="153" t="b">
        <v>0</v>
      </c>
      <c r="AE56" s="155" t="b">
        <v>0</v>
      </c>
      <c r="AF56" s="155" t="b">
        <v>0</v>
      </c>
      <c r="AG56" s="154" t="b">
        <v>0</v>
      </c>
      <c r="AH56" s="139"/>
      <c r="AI56" s="293">
        <v>1.4985E7</v>
      </c>
      <c r="AJ56" s="326"/>
      <c r="AK56" s="297"/>
      <c r="AL56" s="297"/>
      <c r="AM56" s="297"/>
      <c r="AN56" s="327"/>
      <c r="AO56" s="296"/>
      <c r="AP56" s="296"/>
      <c r="AQ56" s="296"/>
      <c r="AR56" s="138" t="b">
        <v>0</v>
      </c>
      <c r="AS56" s="149" t="b">
        <v>0</v>
      </c>
      <c r="AT56" s="297"/>
      <c r="AU56" s="297"/>
      <c r="AV56" s="297"/>
    </row>
    <row r="57">
      <c r="A57" s="103"/>
      <c r="B57" s="250">
        <v>45713.0</v>
      </c>
      <c r="C57" s="251" t="s">
        <v>113</v>
      </c>
      <c r="D57" s="252" t="s">
        <v>136</v>
      </c>
      <c r="E57" s="260"/>
      <c r="F57" s="251" t="s">
        <v>115</v>
      </c>
      <c r="G57" s="252" t="s">
        <v>192</v>
      </c>
      <c r="H57" s="166"/>
      <c r="I57" s="254" t="s">
        <v>405</v>
      </c>
      <c r="J57" s="254" t="s">
        <v>118</v>
      </c>
      <c r="K57" s="255" t="s">
        <v>400</v>
      </c>
      <c r="L57" s="256" t="s">
        <v>401</v>
      </c>
      <c r="M57" s="257"/>
      <c r="N57" s="258" t="s">
        <v>127</v>
      </c>
      <c r="O57" s="259" t="s">
        <v>128</v>
      </c>
      <c r="P57" s="253">
        <v>86.0</v>
      </c>
      <c r="Q57" s="261" t="s">
        <v>187</v>
      </c>
      <c r="R57" s="175">
        <f t="shared" si="1"/>
        <v>1</v>
      </c>
      <c r="S57" s="148">
        <v>45714.0</v>
      </c>
      <c r="T57" s="242">
        <v>45714.0</v>
      </c>
      <c r="U57" s="162" t="str">
        <f t="shared" si="2"/>
        <v>1 days</v>
      </c>
      <c r="V57" s="262">
        <v>45713.0</v>
      </c>
      <c r="W57" s="175" t="s">
        <v>417</v>
      </c>
      <c r="X57" s="259" t="s">
        <v>131</v>
      </c>
      <c r="Y57" s="263" t="s">
        <v>132</v>
      </c>
      <c r="Z57" s="172"/>
      <c r="AA57" s="264"/>
      <c r="AB57" s="162" t="b">
        <v>1</v>
      </c>
      <c r="AC57" s="175" t="b">
        <v>1</v>
      </c>
      <c r="AD57" s="175" t="b">
        <v>1</v>
      </c>
      <c r="AE57" s="180" t="b">
        <v>1</v>
      </c>
      <c r="AF57" s="180" t="b">
        <v>0</v>
      </c>
      <c r="AG57" s="180" t="b">
        <v>0</v>
      </c>
      <c r="AH57" s="166"/>
      <c r="AI57" s="353">
        <v>3500000.0</v>
      </c>
      <c r="AJ57" s="354">
        <f>AI57</f>
        <v>3500000</v>
      </c>
      <c r="AK57" s="251" t="s">
        <v>134</v>
      </c>
      <c r="AL57" s="251" t="s">
        <v>134</v>
      </c>
      <c r="AM57" s="251" t="s">
        <v>134</v>
      </c>
      <c r="AN57" s="267" t="s">
        <v>135</v>
      </c>
      <c r="AO57" s="269"/>
      <c r="AP57" s="269"/>
      <c r="AQ57" s="269"/>
      <c r="AR57" s="163" t="b">
        <v>0</v>
      </c>
      <c r="AS57" s="186" t="b">
        <v>0</v>
      </c>
      <c r="AT57" s="270"/>
      <c r="AU57" s="270"/>
      <c r="AV57" s="270"/>
    </row>
    <row r="58">
      <c r="A58" s="103"/>
      <c r="B58" s="278">
        <v>45695.0</v>
      </c>
      <c r="C58" s="279" t="s">
        <v>113</v>
      </c>
      <c r="D58" s="280" t="s">
        <v>136</v>
      </c>
      <c r="E58" s="320"/>
      <c r="F58" s="279" t="s">
        <v>115</v>
      </c>
      <c r="G58" s="280" t="s">
        <v>162</v>
      </c>
      <c r="H58" s="139"/>
      <c r="I58" s="322" t="s">
        <v>418</v>
      </c>
      <c r="J58" s="322" t="s">
        <v>118</v>
      </c>
      <c r="K58" s="347" t="s">
        <v>419</v>
      </c>
      <c r="L58" s="352"/>
      <c r="M58" s="285"/>
      <c r="N58" s="286" t="s">
        <v>127</v>
      </c>
      <c r="O58" s="287" t="s">
        <v>306</v>
      </c>
      <c r="P58" s="346">
        <v>46.0</v>
      </c>
      <c r="Q58" s="349" t="s">
        <v>129</v>
      </c>
      <c r="R58" s="147">
        <f t="shared" si="1"/>
        <v>2</v>
      </c>
      <c r="S58" s="148">
        <v>45715.0</v>
      </c>
      <c r="T58" s="239">
        <v>45716.0</v>
      </c>
      <c r="U58" s="137" t="str">
        <f t="shared" si="2"/>
        <v>20 days</v>
      </c>
      <c r="V58" s="290">
        <v>45695.0</v>
      </c>
      <c r="W58" s="147" t="s">
        <v>420</v>
      </c>
      <c r="X58" s="287" t="s">
        <v>29</v>
      </c>
      <c r="Y58" s="291" t="s">
        <v>29</v>
      </c>
      <c r="Z58" s="151"/>
      <c r="AA58" s="292"/>
      <c r="AB58" s="137" t="b">
        <v>1</v>
      </c>
      <c r="AC58" s="153" t="b">
        <v>0</v>
      </c>
      <c r="AD58" s="153" t="b">
        <v>0</v>
      </c>
      <c r="AE58" s="155" t="b">
        <v>0</v>
      </c>
      <c r="AF58" s="155" t="b">
        <v>0</v>
      </c>
      <c r="AG58" s="154" t="b">
        <v>0</v>
      </c>
      <c r="AH58" s="139"/>
      <c r="AI58" s="293">
        <v>1.54179E7</v>
      </c>
      <c r="AJ58" s="326"/>
      <c r="AK58" s="297"/>
      <c r="AL58" s="297"/>
      <c r="AM58" s="297"/>
      <c r="AN58" s="327"/>
      <c r="AO58" s="296"/>
      <c r="AP58" s="296"/>
      <c r="AQ58" s="296"/>
      <c r="AR58" s="138" t="b">
        <v>0</v>
      </c>
      <c r="AS58" s="149" t="b">
        <v>0</v>
      </c>
      <c r="AT58" s="297"/>
      <c r="AU58" s="297"/>
      <c r="AV58" s="297"/>
    </row>
    <row r="59">
      <c r="A59" s="103"/>
      <c r="B59" s="250">
        <v>45682.0</v>
      </c>
      <c r="C59" s="161" t="s">
        <v>113</v>
      </c>
      <c r="D59" s="252" t="s">
        <v>250</v>
      </c>
      <c r="E59" s="260"/>
      <c r="F59" s="251" t="s">
        <v>170</v>
      </c>
      <c r="G59" s="252" t="s">
        <v>170</v>
      </c>
      <c r="H59" s="166"/>
      <c r="I59" s="356" t="s">
        <v>421</v>
      </c>
      <c r="J59" s="202" t="s">
        <v>118</v>
      </c>
      <c r="K59" s="357" t="s">
        <v>422</v>
      </c>
      <c r="L59" s="358" t="s">
        <v>423</v>
      </c>
      <c r="M59" s="257"/>
      <c r="N59" s="258" t="s">
        <v>182</v>
      </c>
      <c r="O59" s="259" t="s">
        <v>128</v>
      </c>
      <c r="P59" s="344">
        <v>1.0</v>
      </c>
      <c r="Q59" s="345" t="s">
        <v>275</v>
      </c>
      <c r="R59" s="175">
        <f t="shared" si="1"/>
        <v>1</v>
      </c>
      <c r="S59" s="148">
        <v>45716.0</v>
      </c>
      <c r="T59" s="242">
        <v>45716.0</v>
      </c>
      <c r="U59" s="162" t="str">
        <f t="shared" si="2"/>
        <v>34 days</v>
      </c>
      <c r="V59" s="262">
        <v>45682.0</v>
      </c>
      <c r="W59" s="175" t="s">
        <v>424</v>
      </c>
      <c r="X59" s="259" t="s">
        <v>131</v>
      </c>
      <c r="Y59" s="263" t="s">
        <v>132</v>
      </c>
      <c r="Z59" s="172"/>
      <c r="AA59" s="264"/>
      <c r="AB59" s="302" t="b">
        <v>0</v>
      </c>
      <c r="AC59" s="272" t="b">
        <v>0</v>
      </c>
      <c r="AD59" s="175" t="b">
        <v>0</v>
      </c>
      <c r="AE59" s="180" t="b">
        <v>0</v>
      </c>
      <c r="AF59" s="181" t="b">
        <v>0</v>
      </c>
      <c r="AG59" s="180" t="b">
        <v>1</v>
      </c>
      <c r="AH59" s="166"/>
      <c r="AI59" s="265">
        <v>9823500.0</v>
      </c>
      <c r="AJ59" s="213">
        <f>AI59</f>
        <v>9823500</v>
      </c>
      <c r="AK59" s="251" t="s">
        <v>134</v>
      </c>
      <c r="AL59" s="251" t="s">
        <v>134</v>
      </c>
      <c r="AM59" s="251" t="s">
        <v>134</v>
      </c>
      <c r="AN59" s="267" t="s">
        <v>135</v>
      </c>
      <c r="AO59" s="269"/>
      <c r="AP59" s="269"/>
      <c r="AQ59" s="269"/>
      <c r="AR59" s="163" t="b">
        <v>0</v>
      </c>
      <c r="AS59" s="186" t="b">
        <v>0</v>
      </c>
      <c r="AT59" s="270"/>
      <c r="AU59" s="270"/>
      <c r="AV59" s="270"/>
    </row>
    <row r="60">
      <c r="A60" s="103"/>
      <c r="B60" s="135">
        <v>45667.0</v>
      </c>
      <c r="C60" s="136" t="s">
        <v>113</v>
      </c>
      <c r="D60" s="216" t="s">
        <v>114</v>
      </c>
      <c r="E60" s="217"/>
      <c r="F60" s="136" t="s">
        <v>115</v>
      </c>
      <c r="G60" s="216" t="s">
        <v>192</v>
      </c>
      <c r="H60" s="139"/>
      <c r="I60" s="218" t="s">
        <v>425</v>
      </c>
      <c r="J60" s="218" t="s">
        <v>118</v>
      </c>
      <c r="K60" s="245" t="s">
        <v>426</v>
      </c>
      <c r="L60" s="246" t="s">
        <v>427</v>
      </c>
      <c r="M60" s="222"/>
      <c r="N60" s="247" t="s">
        <v>119</v>
      </c>
      <c r="O60" s="224" t="s">
        <v>138</v>
      </c>
      <c r="P60" s="217">
        <v>15.0</v>
      </c>
      <c r="Q60" s="146" t="s">
        <v>139</v>
      </c>
      <c r="R60" s="147">
        <f t="shared" si="1"/>
        <v>1</v>
      </c>
      <c r="S60" s="148">
        <v>45717.0</v>
      </c>
      <c r="T60" s="239">
        <v>45717.0</v>
      </c>
      <c r="U60" s="137" t="str">
        <f t="shared" si="2"/>
        <v>50 days</v>
      </c>
      <c r="V60" s="226">
        <v>45667.0</v>
      </c>
      <c r="W60" s="147" t="s">
        <v>428</v>
      </c>
      <c r="X60" s="224" t="s">
        <v>29</v>
      </c>
      <c r="Y60" s="248" t="s">
        <v>29</v>
      </c>
      <c r="Z60" s="151"/>
      <c r="AA60" s="249" t="s">
        <v>123</v>
      </c>
      <c r="AB60" s="137" t="b">
        <v>1</v>
      </c>
      <c r="AC60" s="153" t="b">
        <v>0</v>
      </c>
      <c r="AD60" s="153" t="b">
        <v>0</v>
      </c>
      <c r="AE60" s="155" t="b">
        <v>0</v>
      </c>
      <c r="AF60" s="155" t="b">
        <v>0</v>
      </c>
      <c r="AG60" s="154" t="b">
        <v>0</v>
      </c>
      <c r="AH60" s="139"/>
      <c r="AI60" s="229">
        <v>8325000.0</v>
      </c>
      <c r="AJ60" s="156"/>
      <c r="AK60" s="157"/>
      <c r="AL60" s="157"/>
      <c r="AM60" s="157"/>
      <c r="AN60" s="158"/>
      <c r="AO60" s="199"/>
      <c r="AP60" s="199"/>
      <c r="AQ60" s="199"/>
      <c r="AR60" s="138" t="b">
        <v>0</v>
      </c>
      <c r="AS60" s="149" t="b">
        <v>0</v>
      </c>
      <c r="AT60" s="157"/>
      <c r="AU60" s="297"/>
      <c r="AV60" s="297"/>
    </row>
    <row r="61">
      <c r="A61" s="103"/>
      <c r="B61" s="160">
        <v>45663.0</v>
      </c>
      <c r="C61" s="161" t="s">
        <v>113</v>
      </c>
      <c r="D61" s="200" t="s">
        <v>250</v>
      </c>
      <c r="E61" s="230"/>
      <c r="F61" s="164" t="s">
        <v>115</v>
      </c>
      <c r="G61" s="359" t="s">
        <v>170</v>
      </c>
      <c r="H61" s="166"/>
      <c r="I61" s="203" t="s">
        <v>429</v>
      </c>
      <c r="J61" s="203" t="s">
        <v>118</v>
      </c>
      <c r="K61" s="204" t="s">
        <v>430</v>
      </c>
      <c r="L61" s="300" t="s">
        <v>431</v>
      </c>
      <c r="M61" s="206" t="s">
        <v>432</v>
      </c>
      <c r="N61" s="207" t="s">
        <v>119</v>
      </c>
      <c r="O61" s="271" t="s">
        <v>166</v>
      </c>
      <c r="P61" s="201">
        <v>160.0</v>
      </c>
      <c r="Q61" s="174" t="s">
        <v>433</v>
      </c>
      <c r="R61" s="175">
        <f t="shared" si="1"/>
        <v>1</v>
      </c>
      <c r="S61" s="148">
        <v>45729.0</v>
      </c>
      <c r="T61" s="360">
        <v>45729.0</v>
      </c>
      <c r="U61" s="162" t="str">
        <f t="shared" si="2"/>
        <v>66 days</v>
      </c>
      <c r="V61" s="301">
        <v>45663.0</v>
      </c>
      <c r="W61" s="175" t="s">
        <v>434</v>
      </c>
      <c r="X61" s="341" t="s">
        <v>131</v>
      </c>
      <c r="Y61" s="235" t="s">
        <v>132</v>
      </c>
      <c r="Z61" s="172"/>
      <c r="AA61" s="211" t="s">
        <v>133</v>
      </c>
      <c r="AB61" s="162" t="b">
        <v>1</v>
      </c>
      <c r="AC61" s="272" t="b">
        <v>0</v>
      </c>
      <c r="AD61" s="272" t="b">
        <v>0</v>
      </c>
      <c r="AE61" s="181" t="b">
        <v>0</v>
      </c>
      <c r="AF61" s="181" t="b">
        <v>0</v>
      </c>
      <c r="AG61" s="180" t="b">
        <v>1</v>
      </c>
      <c r="AH61" s="166"/>
      <c r="AI61" s="212">
        <v>6.676095E7</v>
      </c>
      <c r="AJ61" s="213">
        <f>AI61</f>
        <v>66760950</v>
      </c>
      <c r="AK61" s="164" t="s">
        <v>134</v>
      </c>
      <c r="AL61" s="164" t="s">
        <v>134</v>
      </c>
      <c r="AM61" s="164" t="s">
        <v>134</v>
      </c>
      <c r="AN61" s="184" t="s">
        <v>135</v>
      </c>
      <c r="AO61" s="185"/>
      <c r="AP61" s="185"/>
      <c r="AQ61" s="185"/>
      <c r="AR61" s="163" t="b">
        <v>1</v>
      </c>
      <c r="AS61" s="186" t="b">
        <v>0</v>
      </c>
      <c r="AT61" s="164"/>
      <c r="AU61" s="270"/>
      <c r="AV61" s="270"/>
    </row>
    <row r="62">
      <c r="A62" s="103"/>
      <c r="B62" s="278">
        <v>45720.0</v>
      </c>
      <c r="C62" s="279" t="s">
        <v>113</v>
      </c>
      <c r="D62" s="280" t="s">
        <v>250</v>
      </c>
      <c r="E62" s="320"/>
      <c r="F62" s="279" t="s">
        <v>115</v>
      </c>
      <c r="G62" s="280" t="s">
        <v>116</v>
      </c>
      <c r="H62" s="139"/>
      <c r="I62" s="322" t="s">
        <v>435</v>
      </c>
      <c r="J62" s="322" t="s">
        <v>155</v>
      </c>
      <c r="K62" s="347" t="s">
        <v>350</v>
      </c>
      <c r="L62" s="348" t="s">
        <v>351</v>
      </c>
      <c r="M62" s="285"/>
      <c r="N62" s="286" t="s">
        <v>182</v>
      </c>
      <c r="O62" s="287" t="s">
        <v>182</v>
      </c>
      <c r="P62" s="320"/>
      <c r="Q62" s="361"/>
      <c r="R62" s="147">
        <f t="shared" si="1"/>
        <v>2</v>
      </c>
      <c r="S62" s="148">
        <v>45738.0</v>
      </c>
      <c r="T62" s="239">
        <v>45739.0</v>
      </c>
      <c r="U62" s="137" t="str">
        <f t="shared" si="2"/>
        <v>18 days</v>
      </c>
      <c r="V62" s="290">
        <v>45720.0</v>
      </c>
      <c r="W62" s="147" t="s">
        <v>436</v>
      </c>
      <c r="X62" s="287" t="s">
        <v>29</v>
      </c>
      <c r="Y62" s="291" t="s">
        <v>29</v>
      </c>
      <c r="Z62" s="151"/>
      <c r="AA62" s="292"/>
      <c r="AB62" s="150" t="b">
        <v>0</v>
      </c>
      <c r="AC62" s="153" t="b">
        <v>0</v>
      </c>
      <c r="AD62" s="153" t="b">
        <v>0</v>
      </c>
      <c r="AE62" s="155" t="b">
        <v>0</v>
      </c>
      <c r="AF62" s="155" t="b">
        <v>0</v>
      </c>
      <c r="AG62" s="154" t="b">
        <v>0</v>
      </c>
      <c r="AH62" s="139"/>
      <c r="AI62" s="293">
        <v>7.88E7</v>
      </c>
      <c r="AJ62" s="326"/>
      <c r="AK62" s="297"/>
      <c r="AL62" s="297"/>
      <c r="AM62" s="297"/>
      <c r="AN62" s="327"/>
      <c r="AO62" s="296"/>
      <c r="AP62" s="296"/>
      <c r="AQ62" s="296"/>
      <c r="AR62" s="138" t="b">
        <v>0</v>
      </c>
      <c r="AS62" s="149" t="b">
        <v>0</v>
      </c>
      <c r="AT62" s="297"/>
      <c r="AU62" s="297"/>
      <c r="AV62" s="297"/>
    </row>
    <row r="63">
      <c r="A63" s="103"/>
      <c r="B63" s="250">
        <v>45715.0</v>
      </c>
      <c r="C63" s="251" t="s">
        <v>190</v>
      </c>
      <c r="D63" s="252" t="s">
        <v>250</v>
      </c>
      <c r="E63" s="260"/>
      <c r="F63" s="251" t="s">
        <v>115</v>
      </c>
      <c r="G63" s="252" t="s">
        <v>192</v>
      </c>
      <c r="H63" s="166"/>
      <c r="I63" s="254" t="s">
        <v>251</v>
      </c>
      <c r="J63" s="254" t="s">
        <v>146</v>
      </c>
      <c r="K63" s="255" t="s">
        <v>437</v>
      </c>
      <c r="L63" s="232" t="s">
        <v>253</v>
      </c>
      <c r="M63" s="257"/>
      <c r="N63" s="258" t="s">
        <v>182</v>
      </c>
      <c r="O63" s="259" t="s">
        <v>182</v>
      </c>
      <c r="P63" s="253">
        <v>400.0</v>
      </c>
      <c r="Q63" s="261" t="s">
        <v>438</v>
      </c>
      <c r="R63" s="175">
        <f t="shared" si="1"/>
        <v>2</v>
      </c>
      <c r="S63" s="148">
        <v>45740.0</v>
      </c>
      <c r="T63" s="242">
        <v>45741.0</v>
      </c>
      <c r="U63" s="162" t="str">
        <f t="shared" si="2"/>
        <v>23 days</v>
      </c>
      <c r="V63" s="262">
        <v>45717.0</v>
      </c>
      <c r="W63" s="175" t="s">
        <v>439</v>
      </c>
      <c r="X63" s="362" t="s">
        <v>131</v>
      </c>
      <c r="Y63" s="363" t="s">
        <v>132</v>
      </c>
      <c r="Z63" s="172"/>
      <c r="AA63" s="264"/>
      <c r="AB63" s="162" t="b">
        <v>1</v>
      </c>
      <c r="AC63" s="175" t="b">
        <v>1</v>
      </c>
      <c r="AD63" s="175" t="b">
        <v>1</v>
      </c>
      <c r="AE63" s="180" t="b">
        <v>1</v>
      </c>
      <c r="AF63" s="180" t="b">
        <v>0</v>
      </c>
      <c r="AG63" s="180" t="b">
        <v>0</v>
      </c>
      <c r="AH63" s="166"/>
      <c r="AI63" s="364">
        <v>1.4552E7</v>
      </c>
      <c r="AJ63" s="266">
        <f>AI63</f>
        <v>14552000</v>
      </c>
      <c r="AK63" s="350" t="s">
        <v>134</v>
      </c>
      <c r="AL63" s="350" t="s">
        <v>134</v>
      </c>
      <c r="AM63" s="350" t="s">
        <v>134</v>
      </c>
      <c r="AN63" s="351" t="s">
        <v>135</v>
      </c>
      <c r="AO63" s="269"/>
      <c r="AP63" s="269"/>
      <c r="AQ63" s="269"/>
      <c r="AR63" s="163" t="b">
        <v>0</v>
      </c>
      <c r="AS63" s="186" t="b">
        <v>0</v>
      </c>
      <c r="AT63" s="270"/>
      <c r="AU63" s="270"/>
      <c r="AV63" s="270"/>
    </row>
    <row r="64">
      <c r="A64" s="103"/>
      <c r="B64" s="135">
        <v>45650.0</v>
      </c>
      <c r="C64" s="136" t="s">
        <v>113</v>
      </c>
      <c r="D64" s="216" t="s">
        <v>143</v>
      </c>
      <c r="E64" s="217" t="s">
        <v>440</v>
      </c>
      <c r="F64" s="136" t="s">
        <v>153</v>
      </c>
      <c r="G64" s="216" t="s">
        <v>441</v>
      </c>
      <c r="H64" s="139"/>
      <c r="I64" s="218" t="s">
        <v>442</v>
      </c>
      <c r="J64" s="219" t="s">
        <v>155</v>
      </c>
      <c r="K64" s="220" t="s">
        <v>440</v>
      </c>
      <c r="L64" s="365"/>
      <c r="M64" s="222"/>
      <c r="N64" s="223" t="s">
        <v>443</v>
      </c>
      <c r="O64" s="224" t="s">
        <v>182</v>
      </c>
      <c r="P64" s="225">
        <v>1000.0</v>
      </c>
      <c r="Q64" s="192" t="s">
        <v>444</v>
      </c>
      <c r="R64" s="147">
        <f t="shared" si="1"/>
        <v>1</v>
      </c>
      <c r="S64" s="148">
        <v>45748.0</v>
      </c>
      <c r="T64" s="239">
        <v>45748.0</v>
      </c>
      <c r="U64" s="137" t="str">
        <f t="shared" si="2"/>
        <v>98 days</v>
      </c>
      <c r="V64" s="226">
        <v>45650.0</v>
      </c>
      <c r="W64" s="147" t="s">
        <v>445</v>
      </c>
      <c r="X64" s="238" t="s">
        <v>29</v>
      </c>
      <c r="Y64" s="227" t="s">
        <v>29</v>
      </c>
      <c r="Z64" s="151"/>
      <c r="AA64" s="228" t="s">
        <v>133</v>
      </c>
      <c r="AB64" s="137" t="b">
        <v>1</v>
      </c>
      <c r="AC64" s="153" t="b">
        <v>0</v>
      </c>
      <c r="AD64" s="153" t="b">
        <v>0</v>
      </c>
      <c r="AE64" s="155" t="b">
        <v>0</v>
      </c>
      <c r="AF64" s="155" t="b">
        <v>0</v>
      </c>
      <c r="AG64" s="154" t="b">
        <v>0</v>
      </c>
      <c r="AH64" s="139"/>
      <c r="AI64" s="229">
        <v>3.2487405E8</v>
      </c>
      <c r="AJ64" s="156"/>
      <c r="AK64" s="157"/>
      <c r="AL64" s="157"/>
      <c r="AM64" s="157"/>
      <c r="AN64" s="158"/>
      <c r="AO64" s="199"/>
      <c r="AP64" s="199"/>
      <c r="AQ64" s="199"/>
      <c r="AR64" s="138" t="b">
        <v>0</v>
      </c>
      <c r="AS64" s="149" t="b">
        <v>0</v>
      </c>
      <c r="AT64" s="157"/>
      <c r="AU64" s="297"/>
      <c r="AV64" s="297"/>
    </row>
    <row r="65">
      <c r="A65" s="103"/>
      <c r="B65" s="250">
        <v>45755.0</v>
      </c>
      <c r="C65" s="251" t="s">
        <v>190</v>
      </c>
      <c r="D65" s="252" t="s">
        <v>136</v>
      </c>
      <c r="E65" s="253" t="s">
        <v>205</v>
      </c>
      <c r="F65" s="251" t="s">
        <v>115</v>
      </c>
      <c r="G65" s="252" t="s">
        <v>192</v>
      </c>
      <c r="H65" s="166"/>
      <c r="I65" s="254" t="s">
        <v>446</v>
      </c>
      <c r="J65" s="254" t="s">
        <v>155</v>
      </c>
      <c r="K65" s="303"/>
      <c r="L65" s="303"/>
      <c r="M65" s="257"/>
      <c r="N65" s="258" t="s">
        <v>155</v>
      </c>
      <c r="O65" s="259" t="s">
        <v>196</v>
      </c>
      <c r="P65" s="253">
        <v>35.0</v>
      </c>
      <c r="Q65" s="261" t="s">
        <v>203</v>
      </c>
      <c r="R65" s="175">
        <f t="shared" si="1"/>
        <v>1</v>
      </c>
      <c r="S65" s="148">
        <v>45756.0</v>
      </c>
      <c r="T65" s="242">
        <v>45756.0</v>
      </c>
      <c r="U65" s="162" t="str">
        <f t="shared" si="2"/>
        <v>1 days</v>
      </c>
      <c r="V65" s="262">
        <v>45755.0</v>
      </c>
      <c r="W65" s="175" t="s">
        <v>447</v>
      </c>
      <c r="X65" s="259" t="s">
        <v>131</v>
      </c>
      <c r="Y65" s="263" t="s">
        <v>132</v>
      </c>
      <c r="Z65" s="172"/>
      <c r="AA65" s="264"/>
      <c r="AB65" s="162" t="b">
        <v>1</v>
      </c>
      <c r="AC65" s="175" t="b">
        <v>1</v>
      </c>
      <c r="AD65" s="175" t="b">
        <v>1</v>
      </c>
      <c r="AE65" s="180" t="b">
        <v>1</v>
      </c>
      <c r="AF65" s="181" t="b">
        <v>0</v>
      </c>
      <c r="AG65" s="180" t="b">
        <v>0</v>
      </c>
      <c r="AH65" s="166"/>
      <c r="AI65" s="265">
        <v>3500000.0</v>
      </c>
      <c r="AJ65" s="266">
        <f>AI65</f>
        <v>3500000</v>
      </c>
      <c r="AK65" s="350" t="s">
        <v>134</v>
      </c>
      <c r="AL65" s="350" t="s">
        <v>134</v>
      </c>
      <c r="AM65" s="350" t="s">
        <v>134</v>
      </c>
      <c r="AN65" s="351" t="s">
        <v>135</v>
      </c>
      <c r="AO65" s="269"/>
      <c r="AP65" s="269"/>
      <c r="AQ65" s="269"/>
      <c r="AR65" s="163" t="b">
        <v>0</v>
      </c>
      <c r="AS65" s="186" t="b">
        <v>0</v>
      </c>
      <c r="AT65" s="270"/>
      <c r="AU65" s="270"/>
      <c r="AV65" s="270"/>
    </row>
    <row r="66">
      <c r="A66" s="103"/>
      <c r="B66" s="278">
        <v>45682.0</v>
      </c>
      <c r="C66" s="136" t="s">
        <v>113</v>
      </c>
      <c r="D66" s="280" t="s">
        <v>114</v>
      </c>
      <c r="E66" s="320"/>
      <c r="F66" s="279" t="s">
        <v>170</v>
      </c>
      <c r="G66" s="216" t="s">
        <v>170</v>
      </c>
      <c r="H66" s="139"/>
      <c r="I66" s="282" t="s">
        <v>448</v>
      </c>
      <c r="J66" s="218" t="s">
        <v>118</v>
      </c>
      <c r="K66" s="283" t="s">
        <v>449</v>
      </c>
      <c r="L66" s="284" t="s">
        <v>450</v>
      </c>
      <c r="M66" s="285"/>
      <c r="N66" s="286" t="s">
        <v>119</v>
      </c>
      <c r="O66" s="287" t="s">
        <v>209</v>
      </c>
      <c r="P66" s="288">
        <v>400.0</v>
      </c>
      <c r="Q66" s="289" t="s">
        <v>451</v>
      </c>
      <c r="R66" s="147">
        <f t="shared" si="1"/>
        <v>3</v>
      </c>
      <c r="S66" s="148">
        <v>45757.0</v>
      </c>
      <c r="T66" s="239">
        <v>45759.0</v>
      </c>
      <c r="U66" s="137" t="str">
        <f t="shared" si="2"/>
        <v>75 days</v>
      </c>
      <c r="V66" s="290">
        <v>45682.0</v>
      </c>
      <c r="W66" s="147" t="s">
        <v>452</v>
      </c>
      <c r="X66" s="287" t="s">
        <v>29</v>
      </c>
      <c r="Y66" s="291" t="s">
        <v>29</v>
      </c>
      <c r="Z66" s="151"/>
      <c r="AA66" s="292"/>
      <c r="AB66" s="150" t="b">
        <v>0</v>
      </c>
      <c r="AC66" s="153" t="b">
        <v>0</v>
      </c>
      <c r="AD66" s="153" t="b">
        <v>0</v>
      </c>
      <c r="AE66" s="155" t="b">
        <v>0</v>
      </c>
      <c r="AF66" s="155" t="b">
        <v>0</v>
      </c>
      <c r="AG66" s="154" t="b">
        <v>0</v>
      </c>
      <c r="AH66" s="139"/>
      <c r="AI66" s="293">
        <v>1.354220415E9</v>
      </c>
      <c r="AJ66" s="156"/>
      <c r="AK66" s="297"/>
      <c r="AL66" s="297"/>
      <c r="AM66" s="297"/>
      <c r="AN66" s="327"/>
      <c r="AO66" s="296"/>
      <c r="AP66" s="296"/>
      <c r="AQ66" s="296"/>
      <c r="AR66" s="138" t="b">
        <v>0</v>
      </c>
      <c r="AS66" s="149" t="b">
        <v>0</v>
      </c>
      <c r="AT66" s="297"/>
      <c r="AU66" s="297"/>
      <c r="AV66" s="297"/>
    </row>
    <row r="67">
      <c r="A67" s="103"/>
      <c r="B67" s="250">
        <v>45756.0</v>
      </c>
      <c r="C67" s="251" t="s">
        <v>113</v>
      </c>
      <c r="D67" s="252" t="s">
        <v>250</v>
      </c>
      <c r="E67" s="260"/>
      <c r="F67" s="251" t="s">
        <v>115</v>
      </c>
      <c r="G67" s="252" t="s">
        <v>170</v>
      </c>
      <c r="H67" s="166"/>
      <c r="I67" s="254" t="s">
        <v>453</v>
      </c>
      <c r="J67" s="254" t="s">
        <v>118</v>
      </c>
      <c r="K67" s="255" t="s">
        <v>454</v>
      </c>
      <c r="L67" s="256" t="s">
        <v>455</v>
      </c>
      <c r="M67" s="366" t="s">
        <v>456</v>
      </c>
      <c r="N67" s="258" t="s">
        <v>119</v>
      </c>
      <c r="O67" s="259" t="s">
        <v>166</v>
      </c>
      <c r="P67" s="253">
        <v>100.0</v>
      </c>
      <c r="Q67" s="261" t="s">
        <v>457</v>
      </c>
      <c r="R67" s="175">
        <f t="shared" si="1"/>
        <v>1</v>
      </c>
      <c r="S67" s="148">
        <v>45762.0</v>
      </c>
      <c r="T67" s="242">
        <v>45762.0</v>
      </c>
      <c r="U67" s="162" t="str">
        <f t="shared" si="2"/>
        <v>20 days</v>
      </c>
      <c r="V67" s="262">
        <v>45742.0</v>
      </c>
      <c r="W67" s="175" t="s">
        <v>458</v>
      </c>
      <c r="X67" s="362" t="s">
        <v>131</v>
      </c>
      <c r="Y67" s="363" t="s">
        <v>132</v>
      </c>
      <c r="Z67" s="172"/>
      <c r="AA67" s="264"/>
      <c r="AB67" s="162" t="b">
        <v>1</v>
      </c>
      <c r="AC67" s="175" t="b">
        <v>1</v>
      </c>
      <c r="AD67" s="175" t="b">
        <v>1</v>
      </c>
      <c r="AE67" s="180" t="b">
        <v>1</v>
      </c>
      <c r="AF67" s="180" t="b">
        <v>1</v>
      </c>
      <c r="AG67" s="180" t="b">
        <v>0</v>
      </c>
      <c r="AH67" s="166"/>
      <c r="AI67" s="265">
        <v>9.98001E7</v>
      </c>
      <c r="AJ67" s="367">
        <f>AI67</f>
        <v>99800100</v>
      </c>
      <c r="AK67" s="350" t="s">
        <v>134</v>
      </c>
      <c r="AL67" s="350" t="s">
        <v>134</v>
      </c>
      <c r="AM67" s="350" t="s">
        <v>134</v>
      </c>
      <c r="AN67" s="351" t="s">
        <v>135</v>
      </c>
      <c r="AO67" s="269"/>
      <c r="AP67" s="269"/>
      <c r="AQ67" s="269"/>
      <c r="AR67" s="163" t="b">
        <v>1</v>
      </c>
      <c r="AS67" s="186" t="b">
        <v>0</v>
      </c>
      <c r="AT67" s="270"/>
      <c r="AU67" s="270"/>
      <c r="AV67" s="270"/>
    </row>
    <row r="68">
      <c r="A68" s="103"/>
      <c r="B68" s="278">
        <v>45680.0</v>
      </c>
      <c r="C68" s="279" t="s">
        <v>113</v>
      </c>
      <c r="D68" s="280" t="s">
        <v>114</v>
      </c>
      <c r="E68" s="320"/>
      <c r="F68" s="279" t="s">
        <v>153</v>
      </c>
      <c r="G68" s="280" t="s">
        <v>153</v>
      </c>
      <c r="H68" s="139"/>
      <c r="I68" s="322" t="s">
        <v>459</v>
      </c>
      <c r="J68" s="322" t="s">
        <v>118</v>
      </c>
      <c r="K68" s="347" t="s">
        <v>460</v>
      </c>
      <c r="L68" s="348" t="s">
        <v>461</v>
      </c>
      <c r="M68" s="285"/>
      <c r="N68" s="286" t="s">
        <v>261</v>
      </c>
      <c r="O68" s="287" t="s">
        <v>166</v>
      </c>
      <c r="P68" s="346">
        <v>70.0</v>
      </c>
      <c r="Q68" s="349" t="s">
        <v>462</v>
      </c>
      <c r="R68" s="147">
        <f t="shared" si="1"/>
        <v>3</v>
      </c>
      <c r="S68" s="148">
        <v>45764.0</v>
      </c>
      <c r="T68" s="239">
        <v>45766.0</v>
      </c>
      <c r="U68" s="137" t="str">
        <f t="shared" si="2"/>
        <v>84 days</v>
      </c>
      <c r="V68" s="290">
        <v>45680.0</v>
      </c>
      <c r="W68" s="147" t="s">
        <v>463</v>
      </c>
      <c r="X68" s="287" t="s">
        <v>29</v>
      </c>
      <c r="Y68" s="291" t="s">
        <v>29</v>
      </c>
      <c r="Z68" s="151"/>
      <c r="AA68" s="355" t="s">
        <v>225</v>
      </c>
      <c r="AB68" s="137" t="b">
        <v>1</v>
      </c>
      <c r="AC68" s="147" t="b">
        <v>1</v>
      </c>
      <c r="AD68" s="153" t="b">
        <v>0</v>
      </c>
      <c r="AE68" s="155" t="b">
        <v>0</v>
      </c>
      <c r="AF68" s="155" t="b">
        <v>0</v>
      </c>
      <c r="AG68" s="154" t="b">
        <v>0</v>
      </c>
      <c r="AH68" s="139"/>
      <c r="AI68" s="293">
        <v>6.216E8</v>
      </c>
      <c r="AJ68" s="326"/>
      <c r="AK68" s="297"/>
      <c r="AL68" s="297"/>
      <c r="AM68" s="297"/>
      <c r="AN68" s="327"/>
      <c r="AO68" s="296"/>
      <c r="AP68" s="296"/>
      <c r="AQ68" s="296"/>
      <c r="AR68" s="138" t="b">
        <v>0</v>
      </c>
      <c r="AS68" s="149" t="b">
        <v>0</v>
      </c>
      <c r="AT68" s="297"/>
      <c r="AU68" s="297"/>
      <c r="AV68" s="297"/>
    </row>
    <row r="69">
      <c r="A69" s="103"/>
      <c r="B69" s="250">
        <v>45756.0</v>
      </c>
      <c r="C69" s="251" t="s">
        <v>113</v>
      </c>
      <c r="D69" s="252" t="s">
        <v>250</v>
      </c>
      <c r="E69" s="260"/>
      <c r="F69" s="251" t="s">
        <v>170</v>
      </c>
      <c r="G69" s="252" t="s">
        <v>170</v>
      </c>
      <c r="H69" s="166"/>
      <c r="I69" s="254" t="s">
        <v>464</v>
      </c>
      <c r="J69" s="254" t="s">
        <v>118</v>
      </c>
      <c r="K69" s="255" t="s">
        <v>465</v>
      </c>
      <c r="L69" s="256" t="s">
        <v>466</v>
      </c>
      <c r="M69" s="257"/>
      <c r="N69" s="258" t="s">
        <v>119</v>
      </c>
      <c r="O69" s="259" t="s">
        <v>166</v>
      </c>
      <c r="P69" s="253">
        <v>100.0</v>
      </c>
      <c r="Q69" s="261" t="s">
        <v>290</v>
      </c>
      <c r="R69" s="175">
        <f t="shared" si="1"/>
        <v>1</v>
      </c>
      <c r="S69" s="148">
        <v>45764.0</v>
      </c>
      <c r="T69" s="242">
        <v>45764.0</v>
      </c>
      <c r="U69" s="162" t="str">
        <f t="shared" si="2"/>
        <v>8 days</v>
      </c>
      <c r="V69" s="262">
        <v>45756.0</v>
      </c>
      <c r="W69" s="175" t="s">
        <v>467</v>
      </c>
      <c r="X69" s="259" t="s">
        <v>29</v>
      </c>
      <c r="Y69" s="263" t="s">
        <v>29</v>
      </c>
      <c r="Z69" s="172"/>
      <c r="AA69" s="264"/>
      <c r="AB69" s="302" t="b">
        <v>0</v>
      </c>
      <c r="AC69" s="272" t="b">
        <v>0</v>
      </c>
      <c r="AD69" s="272" t="b">
        <v>0</v>
      </c>
      <c r="AE69" s="181" t="b">
        <v>0</v>
      </c>
      <c r="AF69" s="181" t="b">
        <v>0</v>
      </c>
      <c r="AG69" s="180" t="b">
        <v>0</v>
      </c>
      <c r="AH69" s="166"/>
      <c r="AI69" s="368"/>
      <c r="AJ69" s="367"/>
      <c r="AK69" s="270"/>
      <c r="AL69" s="270"/>
      <c r="AM69" s="270"/>
      <c r="AN69" s="304"/>
      <c r="AO69" s="269"/>
      <c r="AP69" s="269"/>
      <c r="AQ69" s="269"/>
      <c r="AR69" s="163" t="b">
        <v>0</v>
      </c>
      <c r="AS69" s="186" t="b">
        <v>0</v>
      </c>
      <c r="AT69" s="270"/>
      <c r="AU69" s="270"/>
      <c r="AV69" s="270"/>
    </row>
    <row r="70">
      <c r="A70" s="103"/>
      <c r="B70" s="278">
        <v>45728.0</v>
      </c>
      <c r="C70" s="279" t="s">
        <v>190</v>
      </c>
      <c r="D70" s="280" t="s">
        <v>250</v>
      </c>
      <c r="E70" s="320"/>
      <c r="F70" s="279" t="s">
        <v>357</v>
      </c>
      <c r="G70" s="280" t="s">
        <v>192</v>
      </c>
      <c r="H70" s="139"/>
      <c r="I70" s="322" t="s">
        <v>468</v>
      </c>
      <c r="J70" s="322" t="s">
        <v>118</v>
      </c>
      <c r="K70" s="347" t="s">
        <v>469</v>
      </c>
      <c r="L70" s="348" t="s">
        <v>470</v>
      </c>
      <c r="M70" s="285"/>
      <c r="N70" s="286" t="s">
        <v>155</v>
      </c>
      <c r="O70" s="287" t="s">
        <v>196</v>
      </c>
      <c r="P70" s="346">
        <v>220.0</v>
      </c>
      <c r="Q70" s="349" t="s">
        <v>471</v>
      </c>
      <c r="R70" s="147">
        <f t="shared" si="1"/>
        <v>1</v>
      </c>
      <c r="S70" s="148">
        <v>45767.0</v>
      </c>
      <c r="T70" s="239">
        <v>45767.0</v>
      </c>
      <c r="U70" s="137" t="str">
        <f t="shared" si="2"/>
        <v>39 days</v>
      </c>
      <c r="V70" s="290">
        <v>45728.0</v>
      </c>
      <c r="W70" s="147" t="s">
        <v>472</v>
      </c>
      <c r="X70" s="369" t="s">
        <v>131</v>
      </c>
      <c r="Y70" s="370" t="s">
        <v>132</v>
      </c>
      <c r="Z70" s="151"/>
      <c r="AA70" s="292"/>
      <c r="AB70" s="137" t="b">
        <v>0</v>
      </c>
      <c r="AC70" s="153" t="b">
        <v>0</v>
      </c>
      <c r="AD70" s="153" t="b">
        <v>0</v>
      </c>
      <c r="AE70" s="155" t="b">
        <v>0</v>
      </c>
      <c r="AF70" s="155" t="b">
        <v>0</v>
      </c>
      <c r="AG70" s="154" t="b">
        <v>0</v>
      </c>
      <c r="AH70" s="139"/>
      <c r="AI70" s="293">
        <v>2.9E7</v>
      </c>
      <c r="AJ70" s="326">
        <f>AI70</f>
        <v>29000000</v>
      </c>
      <c r="AK70" s="371" t="s">
        <v>134</v>
      </c>
      <c r="AL70" s="371" t="s">
        <v>134</v>
      </c>
      <c r="AM70" s="371" t="s">
        <v>134</v>
      </c>
      <c r="AN70" s="372" t="s">
        <v>135</v>
      </c>
      <c r="AO70" s="296"/>
      <c r="AP70" s="296"/>
      <c r="AQ70" s="296"/>
      <c r="AR70" s="138" t="b">
        <v>1</v>
      </c>
      <c r="AS70" s="149" t="b">
        <v>0</v>
      </c>
      <c r="AT70" s="297"/>
      <c r="AU70" s="297"/>
      <c r="AV70" s="297"/>
    </row>
    <row r="71">
      <c r="A71" s="103"/>
      <c r="B71" s="250">
        <v>45758.0</v>
      </c>
      <c r="C71" s="251" t="s">
        <v>113</v>
      </c>
      <c r="D71" s="252" t="s">
        <v>250</v>
      </c>
      <c r="E71" s="260"/>
      <c r="F71" s="251" t="s">
        <v>115</v>
      </c>
      <c r="G71" s="252" t="s">
        <v>116</v>
      </c>
      <c r="H71" s="166"/>
      <c r="I71" s="254" t="s">
        <v>473</v>
      </c>
      <c r="J71" s="254" t="s">
        <v>118</v>
      </c>
      <c r="K71" s="255" t="s">
        <v>474</v>
      </c>
      <c r="L71" s="303"/>
      <c r="M71" s="257"/>
      <c r="N71" s="258" t="s">
        <v>119</v>
      </c>
      <c r="O71" s="259" t="s">
        <v>174</v>
      </c>
      <c r="P71" s="253">
        <v>66.0</v>
      </c>
      <c r="Q71" s="261" t="s">
        <v>475</v>
      </c>
      <c r="R71" s="175" t="str">
        <f t="shared" si="1"/>
        <v/>
      </c>
      <c r="S71" s="148">
        <v>45767.0</v>
      </c>
      <c r="T71" s="242"/>
      <c r="U71" s="162" t="str">
        <f t="shared" si="2"/>
        <v>6 days</v>
      </c>
      <c r="V71" s="262">
        <v>45761.0</v>
      </c>
      <c r="W71" s="175" t="s">
        <v>476</v>
      </c>
      <c r="X71" s="259" t="s">
        <v>29</v>
      </c>
      <c r="Y71" s="263" t="s">
        <v>29</v>
      </c>
      <c r="Z71" s="172"/>
      <c r="AA71" s="305" t="s">
        <v>225</v>
      </c>
      <c r="AB71" s="302" t="b">
        <v>0</v>
      </c>
      <c r="AC71" s="272" t="b">
        <v>0</v>
      </c>
      <c r="AD71" s="272" t="b">
        <v>0</v>
      </c>
      <c r="AE71" s="181" t="b">
        <v>0</v>
      </c>
      <c r="AF71" s="181" t="b">
        <v>0</v>
      </c>
      <c r="AG71" s="180" t="b">
        <v>0</v>
      </c>
      <c r="AH71" s="166"/>
      <c r="AI71" s="265">
        <v>3.4632E7</v>
      </c>
      <c r="AJ71" s="266"/>
      <c r="AK71" s="270"/>
      <c r="AL71" s="270"/>
      <c r="AM71" s="270"/>
      <c r="AN71" s="304"/>
      <c r="AO71" s="269"/>
      <c r="AP71" s="269"/>
      <c r="AQ71" s="269"/>
      <c r="AR71" s="163" t="b">
        <v>0</v>
      </c>
      <c r="AS71" s="186" t="b">
        <v>0</v>
      </c>
      <c r="AT71" s="270"/>
      <c r="AU71" s="270"/>
      <c r="AV71" s="270"/>
    </row>
    <row r="72">
      <c r="A72" s="103"/>
      <c r="B72" s="278">
        <v>45722.0</v>
      </c>
      <c r="C72" s="279" t="s">
        <v>190</v>
      </c>
      <c r="D72" s="280" t="s">
        <v>136</v>
      </c>
      <c r="E72" s="346" t="s">
        <v>398</v>
      </c>
      <c r="F72" s="279" t="s">
        <v>115</v>
      </c>
      <c r="G72" s="280" t="s">
        <v>192</v>
      </c>
      <c r="H72" s="139"/>
      <c r="I72" s="322" t="s">
        <v>477</v>
      </c>
      <c r="J72" s="322" t="s">
        <v>155</v>
      </c>
      <c r="K72" s="347" t="s">
        <v>478</v>
      </c>
      <c r="L72" s="348" t="s">
        <v>479</v>
      </c>
      <c r="M72" s="285"/>
      <c r="N72" s="286" t="s">
        <v>182</v>
      </c>
      <c r="O72" s="287" t="s">
        <v>182</v>
      </c>
      <c r="P72" s="320"/>
      <c r="Q72" s="349" t="s">
        <v>471</v>
      </c>
      <c r="R72" s="147">
        <f t="shared" si="1"/>
        <v>3</v>
      </c>
      <c r="S72" s="148">
        <v>45768.0</v>
      </c>
      <c r="T72" s="149">
        <v>45770.0</v>
      </c>
      <c r="U72" s="137" t="str">
        <f t="shared" si="2"/>
        <v>46 days</v>
      </c>
      <c r="V72" s="290">
        <v>45722.0</v>
      </c>
      <c r="W72" s="147" t="s">
        <v>480</v>
      </c>
      <c r="X72" s="287" t="s">
        <v>29</v>
      </c>
      <c r="Y72" s="291" t="s">
        <v>29</v>
      </c>
      <c r="Z72" s="151"/>
      <c r="AA72" s="355" t="s">
        <v>123</v>
      </c>
      <c r="AB72" s="150" t="b">
        <v>0</v>
      </c>
      <c r="AC72" s="153" t="b">
        <v>0</v>
      </c>
      <c r="AD72" s="153" t="b">
        <v>0</v>
      </c>
      <c r="AE72" s="155" t="b">
        <v>0</v>
      </c>
      <c r="AF72" s="155" t="b">
        <v>0</v>
      </c>
      <c r="AG72" s="154" t="b">
        <v>0</v>
      </c>
      <c r="AH72" s="139"/>
      <c r="AI72" s="293">
        <v>4.235E7</v>
      </c>
      <c r="AJ72" s="326"/>
      <c r="AK72" s="297"/>
      <c r="AL72" s="297"/>
      <c r="AM72" s="297"/>
      <c r="AN72" s="327"/>
      <c r="AO72" s="296"/>
      <c r="AP72" s="296"/>
      <c r="AQ72" s="296"/>
      <c r="AR72" s="138" t="b">
        <v>0</v>
      </c>
      <c r="AS72" s="149" t="b">
        <v>0</v>
      </c>
      <c r="AT72" s="297"/>
      <c r="AU72" s="297"/>
      <c r="AV72" s="297"/>
    </row>
    <row r="73">
      <c r="A73" s="103"/>
      <c r="B73" s="250">
        <v>45766.0</v>
      </c>
      <c r="C73" s="251" t="s">
        <v>113</v>
      </c>
      <c r="D73" s="252" t="s">
        <v>250</v>
      </c>
      <c r="E73" s="260"/>
      <c r="F73" s="251" t="s">
        <v>115</v>
      </c>
      <c r="G73" s="252" t="s">
        <v>170</v>
      </c>
      <c r="H73" s="166"/>
      <c r="I73" s="254" t="s">
        <v>481</v>
      </c>
      <c r="J73" s="254" t="s">
        <v>146</v>
      </c>
      <c r="K73" s="255" t="s">
        <v>482</v>
      </c>
      <c r="L73" s="256" t="s">
        <v>483</v>
      </c>
      <c r="M73" s="257"/>
      <c r="N73" s="258" t="s">
        <v>345</v>
      </c>
      <c r="O73" s="259" t="s">
        <v>182</v>
      </c>
      <c r="P73" s="253">
        <v>125.0</v>
      </c>
      <c r="Q73" s="261" t="s">
        <v>484</v>
      </c>
      <c r="R73" s="175">
        <f t="shared" si="1"/>
        <v>2</v>
      </c>
      <c r="S73" s="148">
        <v>45769.0</v>
      </c>
      <c r="T73" s="242">
        <v>45770.0</v>
      </c>
      <c r="U73" s="162" t="str">
        <f t="shared" si="2"/>
        <v>2 days</v>
      </c>
      <c r="V73" s="262">
        <v>45767.0</v>
      </c>
      <c r="W73" s="175" t="s">
        <v>485</v>
      </c>
      <c r="X73" s="259" t="s">
        <v>131</v>
      </c>
      <c r="Y73" s="263" t="s">
        <v>132</v>
      </c>
      <c r="Z73" s="172" t="s">
        <v>486</v>
      </c>
      <c r="AA73" s="264"/>
      <c r="AB73" s="302" t="b">
        <v>0</v>
      </c>
      <c r="AC73" s="272" t="b">
        <v>0</v>
      </c>
      <c r="AD73" s="272" t="b">
        <v>0</v>
      </c>
      <c r="AE73" s="181" t="b">
        <v>0</v>
      </c>
      <c r="AF73" s="181" t="b">
        <v>0</v>
      </c>
      <c r="AG73" s="180" t="b">
        <v>0</v>
      </c>
      <c r="AH73" s="166"/>
      <c r="AI73" s="368"/>
      <c r="AJ73" s="367"/>
      <c r="AK73" s="270"/>
      <c r="AL73" s="270"/>
      <c r="AM73" s="270"/>
      <c r="AN73" s="304"/>
      <c r="AO73" s="269"/>
      <c r="AP73" s="269"/>
      <c r="AQ73" s="269"/>
      <c r="AR73" s="163" t="b">
        <v>0</v>
      </c>
      <c r="AS73" s="186" t="b">
        <v>0</v>
      </c>
      <c r="AT73" s="270"/>
      <c r="AU73" s="270"/>
      <c r="AV73" s="270"/>
    </row>
    <row r="74">
      <c r="A74" s="103"/>
      <c r="B74" s="278">
        <v>45772.0</v>
      </c>
      <c r="C74" s="279" t="s">
        <v>113</v>
      </c>
      <c r="D74" s="280" t="s">
        <v>250</v>
      </c>
      <c r="E74" s="346"/>
      <c r="F74" s="279" t="s">
        <v>170</v>
      </c>
      <c r="G74" s="280" t="s">
        <v>170</v>
      </c>
      <c r="H74" s="139"/>
      <c r="I74" s="322" t="s">
        <v>487</v>
      </c>
      <c r="J74" s="322" t="s">
        <v>118</v>
      </c>
      <c r="K74" s="347" t="s">
        <v>273</v>
      </c>
      <c r="L74" s="348" t="s">
        <v>274</v>
      </c>
      <c r="M74" s="285"/>
      <c r="N74" s="286" t="s">
        <v>155</v>
      </c>
      <c r="O74" s="287" t="s">
        <v>238</v>
      </c>
      <c r="P74" s="346"/>
      <c r="Q74" s="349" t="s">
        <v>488</v>
      </c>
      <c r="R74" s="147">
        <f t="shared" si="1"/>
        <v>1</v>
      </c>
      <c r="S74" s="148">
        <v>45776.0</v>
      </c>
      <c r="T74" s="239">
        <v>45776.0</v>
      </c>
      <c r="U74" s="137" t="str">
        <f t="shared" si="2"/>
        <v>4 days</v>
      </c>
      <c r="V74" s="290">
        <v>45772.0</v>
      </c>
      <c r="W74" s="147" t="s">
        <v>489</v>
      </c>
      <c r="X74" s="287" t="s">
        <v>131</v>
      </c>
      <c r="Y74" s="291" t="s">
        <v>132</v>
      </c>
      <c r="Z74" s="151"/>
      <c r="AA74" s="292"/>
      <c r="AB74" s="150" t="b">
        <v>0</v>
      </c>
      <c r="AC74" s="153" t="b">
        <v>0</v>
      </c>
      <c r="AD74" s="153" t="b">
        <v>0</v>
      </c>
      <c r="AE74" s="155" t="b">
        <v>0</v>
      </c>
      <c r="AF74" s="155" t="b">
        <v>0</v>
      </c>
      <c r="AG74" s="154" t="b">
        <v>0</v>
      </c>
      <c r="AH74" s="139"/>
      <c r="AI74" s="373">
        <v>4.33543E7</v>
      </c>
      <c r="AJ74" s="374">
        <f t="shared" ref="AJ74:AJ75" si="10">AI74</f>
        <v>43354300</v>
      </c>
      <c r="AK74" s="279" t="s">
        <v>134</v>
      </c>
      <c r="AL74" s="279" t="s">
        <v>134</v>
      </c>
      <c r="AM74" s="279" t="s">
        <v>134</v>
      </c>
      <c r="AN74" s="294" t="s">
        <v>135</v>
      </c>
      <c r="AO74" s="296"/>
      <c r="AP74" s="296"/>
      <c r="AQ74" s="296"/>
      <c r="AR74" s="138" t="b">
        <v>0</v>
      </c>
      <c r="AS74" s="149" t="b">
        <v>0</v>
      </c>
      <c r="AT74" s="297"/>
      <c r="AU74" s="297"/>
      <c r="AV74" s="297"/>
    </row>
    <row r="75">
      <c r="A75" s="103"/>
      <c r="B75" s="250">
        <v>45776.0</v>
      </c>
      <c r="C75" s="251" t="s">
        <v>113</v>
      </c>
      <c r="D75" s="252" t="s">
        <v>136</v>
      </c>
      <c r="E75" s="260"/>
      <c r="F75" s="251" t="s">
        <v>115</v>
      </c>
      <c r="G75" s="252" t="s">
        <v>192</v>
      </c>
      <c r="H75" s="166"/>
      <c r="I75" s="254" t="s">
        <v>490</v>
      </c>
      <c r="J75" s="375"/>
      <c r="K75" s="255" t="s">
        <v>491</v>
      </c>
      <c r="L75" s="376" t="s">
        <v>492</v>
      </c>
      <c r="M75" s="257"/>
      <c r="N75" s="258" t="s">
        <v>155</v>
      </c>
      <c r="O75" s="259" t="s">
        <v>306</v>
      </c>
      <c r="P75" s="253">
        <v>10.0</v>
      </c>
      <c r="Q75" s="261" t="s">
        <v>493</v>
      </c>
      <c r="R75" s="175">
        <f t="shared" si="1"/>
        <v>1</v>
      </c>
      <c r="S75" s="148">
        <v>45783.0</v>
      </c>
      <c r="T75" s="242">
        <v>45783.0</v>
      </c>
      <c r="U75" s="162" t="str">
        <f t="shared" si="2"/>
        <v>7 days</v>
      </c>
      <c r="V75" s="262">
        <v>45776.0</v>
      </c>
      <c r="W75" s="175" t="s">
        <v>494</v>
      </c>
      <c r="X75" s="259" t="s">
        <v>131</v>
      </c>
      <c r="Y75" s="263" t="s">
        <v>132</v>
      </c>
      <c r="Z75" s="172"/>
      <c r="AA75" s="264"/>
      <c r="AB75" s="162" t="b">
        <v>1</v>
      </c>
      <c r="AC75" s="175" t="b">
        <v>1</v>
      </c>
      <c r="AD75" s="175" t="b">
        <v>1</v>
      </c>
      <c r="AE75" s="180" t="b">
        <v>1</v>
      </c>
      <c r="AF75" s="180" t="b">
        <v>1</v>
      </c>
      <c r="AG75" s="180" t="b">
        <v>0</v>
      </c>
      <c r="AH75" s="166"/>
      <c r="AI75" s="364">
        <v>7492500.0</v>
      </c>
      <c r="AJ75" s="377">
        <f t="shared" si="10"/>
        <v>7492500</v>
      </c>
      <c r="AK75" s="251" t="s">
        <v>134</v>
      </c>
      <c r="AL75" s="251" t="s">
        <v>134</v>
      </c>
      <c r="AM75" s="251" t="s">
        <v>134</v>
      </c>
      <c r="AN75" s="267" t="s">
        <v>135</v>
      </c>
      <c r="AO75" s="269"/>
      <c r="AP75" s="269"/>
      <c r="AQ75" s="269"/>
      <c r="AR75" s="163" t="b">
        <v>1</v>
      </c>
      <c r="AS75" s="186" t="b">
        <v>0</v>
      </c>
      <c r="AT75" s="270"/>
      <c r="AU75" s="270"/>
      <c r="AV75" s="270"/>
    </row>
    <row r="76">
      <c r="A76" s="103"/>
      <c r="B76" s="278">
        <v>45794.0</v>
      </c>
      <c r="C76" s="279" t="s">
        <v>113</v>
      </c>
      <c r="D76" s="280" t="s">
        <v>136</v>
      </c>
      <c r="E76" s="346" t="s">
        <v>495</v>
      </c>
      <c r="F76" s="279" t="s">
        <v>115</v>
      </c>
      <c r="G76" s="280" t="s">
        <v>170</v>
      </c>
      <c r="H76" s="139"/>
      <c r="I76" s="322" t="s">
        <v>496</v>
      </c>
      <c r="J76" s="322" t="s">
        <v>146</v>
      </c>
      <c r="K76" s="352"/>
      <c r="L76" s="352"/>
      <c r="M76" s="285"/>
      <c r="N76" s="286" t="s">
        <v>345</v>
      </c>
      <c r="O76" s="287" t="s">
        <v>166</v>
      </c>
      <c r="P76" s="346">
        <v>150.0</v>
      </c>
      <c r="Q76" s="349" t="s">
        <v>497</v>
      </c>
      <c r="R76" s="147">
        <f t="shared" si="1"/>
        <v>2</v>
      </c>
      <c r="S76" s="148">
        <v>45787.0</v>
      </c>
      <c r="T76" s="239">
        <v>45788.0</v>
      </c>
      <c r="U76" s="137" t="str">
        <f t="shared" si="2"/>
        <v>-17 days</v>
      </c>
      <c r="V76" s="290">
        <v>45804.0</v>
      </c>
      <c r="W76" s="147" t="s">
        <v>498</v>
      </c>
      <c r="X76" s="287" t="s">
        <v>29</v>
      </c>
      <c r="Y76" s="291" t="s">
        <v>29</v>
      </c>
      <c r="Z76" s="151"/>
      <c r="AA76" s="355" t="s">
        <v>160</v>
      </c>
      <c r="AB76" s="150" t="b">
        <v>0</v>
      </c>
      <c r="AC76" s="153" t="b">
        <v>0</v>
      </c>
      <c r="AD76" s="153" t="b">
        <v>0</v>
      </c>
      <c r="AE76" s="155" t="b">
        <v>0</v>
      </c>
      <c r="AF76" s="155" t="b">
        <v>0</v>
      </c>
      <c r="AG76" s="154" t="b">
        <v>0</v>
      </c>
      <c r="AH76" s="139"/>
      <c r="AI76" s="326">
        <v>4.87256E8</v>
      </c>
      <c r="AJ76" s="326"/>
      <c r="AK76" s="297"/>
      <c r="AL76" s="297"/>
      <c r="AM76" s="297"/>
      <c r="AN76" s="327"/>
      <c r="AO76" s="296"/>
      <c r="AP76" s="296"/>
      <c r="AQ76" s="296"/>
      <c r="AR76" s="138" t="b">
        <v>0</v>
      </c>
      <c r="AS76" s="149" t="b">
        <v>0</v>
      </c>
      <c r="AT76" s="297"/>
      <c r="AU76" s="297"/>
      <c r="AV76" s="297"/>
    </row>
    <row r="77">
      <c r="A77" s="103"/>
      <c r="B77" s="250">
        <v>45712.0</v>
      </c>
      <c r="C77" s="251" t="s">
        <v>113</v>
      </c>
      <c r="D77" s="252" t="s">
        <v>136</v>
      </c>
      <c r="E77" s="260"/>
      <c r="F77" s="251" t="s">
        <v>115</v>
      </c>
      <c r="G77" s="252" t="s">
        <v>162</v>
      </c>
      <c r="H77" s="166"/>
      <c r="I77" s="254" t="s">
        <v>499</v>
      </c>
      <c r="J77" s="254" t="s">
        <v>118</v>
      </c>
      <c r="K77" s="255" t="s">
        <v>500</v>
      </c>
      <c r="L77" s="303"/>
      <c r="M77" s="257"/>
      <c r="N77" s="258" t="s">
        <v>119</v>
      </c>
      <c r="O77" s="259" t="s">
        <v>120</v>
      </c>
      <c r="P77" s="253">
        <v>25.0</v>
      </c>
      <c r="Q77" s="261" t="s">
        <v>415</v>
      </c>
      <c r="R77" s="175">
        <f t="shared" si="1"/>
        <v>1</v>
      </c>
      <c r="S77" s="148">
        <v>45789.0</v>
      </c>
      <c r="T77" s="242">
        <v>45789.0</v>
      </c>
      <c r="U77" s="162" t="str">
        <f t="shared" si="2"/>
        <v>77 days</v>
      </c>
      <c r="V77" s="262">
        <v>45712.0</v>
      </c>
      <c r="W77" s="175" t="s">
        <v>501</v>
      </c>
      <c r="X77" s="259" t="s">
        <v>29</v>
      </c>
      <c r="Y77" s="263" t="s">
        <v>29</v>
      </c>
      <c r="Z77" s="172"/>
      <c r="AA77" s="305" t="s">
        <v>123</v>
      </c>
      <c r="AB77" s="162" t="b">
        <v>1</v>
      </c>
      <c r="AC77" s="175" t="b">
        <v>1</v>
      </c>
      <c r="AD77" s="272" t="b">
        <v>0</v>
      </c>
      <c r="AE77" s="181" t="b">
        <v>0</v>
      </c>
      <c r="AF77" s="181" t="b">
        <v>0</v>
      </c>
      <c r="AG77" s="180" t="b">
        <v>0</v>
      </c>
      <c r="AH77" s="166"/>
      <c r="AI77" s="265">
        <v>1.318125E7</v>
      </c>
      <c r="AJ77" s="266"/>
      <c r="AK77" s="270"/>
      <c r="AL77" s="270"/>
      <c r="AM77" s="270"/>
      <c r="AN77" s="304"/>
      <c r="AO77" s="269"/>
      <c r="AP77" s="269"/>
      <c r="AQ77" s="269"/>
      <c r="AR77" s="163" t="b">
        <v>0</v>
      </c>
      <c r="AS77" s="186" t="b">
        <v>0</v>
      </c>
      <c r="AT77" s="270"/>
      <c r="AU77" s="270"/>
      <c r="AV77" s="270"/>
    </row>
    <row r="78">
      <c r="A78" s="103"/>
      <c r="B78" s="278">
        <v>45791.0</v>
      </c>
      <c r="C78" s="279" t="s">
        <v>113</v>
      </c>
      <c r="D78" s="280" t="s">
        <v>250</v>
      </c>
      <c r="E78" s="320"/>
      <c r="F78" s="279" t="s">
        <v>115</v>
      </c>
      <c r="G78" s="280" t="s">
        <v>162</v>
      </c>
      <c r="H78" s="139"/>
      <c r="I78" s="322" t="s">
        <v>502</v>
      </c>
      <c r="J78" s="322" t="s">
        <v>146</v>
      </c>
      <c r="K78" s="347" t="s">
        <v>503</v>
      </c>
      <c r="L78" s="348" t="s">
        <v>504</v>
      </c>
      <c r="M78" s="285"/>
      <c r="N78" s="286" t="s">
        <v>119</v>
      </c>
      <c r="O78" s="287" t="s">
        <v>209</v>
      </c>
      <c r="P78" s="346">
        <v>70.0</v>
      </c>
      <c r="Q78" s="349" t="s">
        <v>167</v>
      </c>
      <c r="R78" s="147">
        <f t="shared" si="1"/>
        <v>30</v>
      </c>
      <c r="S78" s="378">
        <v>45791.0</v>
      </c>
      <c r="T78" s="379">
        <v>45820.0</v>
      </c>
      <c r="U78" s="137" t="str">
        <f t="shared" si="2"/>
        <v>-29 days</v>
      </c>
      <c r="V78" s="290">
        <v>45820.0</v>
      </c>
      <c r="W78" s="147" t="s">
        <v>505</v>
      </c>
      <c r="X78" s="287" t="s">
        <v>29</v>
      </c>
      <c r="Y78" s="291" t="s">
        <v>29</v>
      </c>
      <c r="Z78" s="151"/>
      <c r="AA78" s="292"/>
      <c r="AB78" s="137" t="b">
        <v>1</v>
      </c>
      <c r="AC78" s="153" t="b">
        <v>0</v>
      </c>
      <c r="AD78" s="153" t="b">
        <v>0</v>
      </c>
      <c r="AE78" s="155" t="b">
        <v>0</v>
      </c>
      <c r="AF78" s="155" t="b">
        <v>0</v>
      </c>
      <c r="AG78" s="154" t="b">
        <v>0</v>
      </c>
      <c r="AH78" s="139"/>
      <c r="AI78" s="293">
        <v>5.217E7</v>
      </c>
      <c r="AJ78" s="326"/>
      <c r="AK78" s="297"/>
      <c r="AL78" s="297"/>
      <c r="AM78" s="297"/>
      <c r="AN78" s="327"/>
      <c r="AO78" s="296"/>
      <c r="AP78" s="296"/>
      <c r="AQ78" s="296"/>
      <c r="AR78" s="138" t="b">
        <v>0</v>
      </c>
      <c r="AS78" s="149" t="b">
        <v>0</v>
      </c>
      <c r="AT78" s="297"/>
      <c r="AU78" s="297"/>
      <c r="AV78" s="297"/>
    </row>
    <row r="79">
      <c r="A79" s="103"/>
      <c r="B79" s="250">
        <v>45696.0</v>
      </c>
      <c r="C79" s="251" t="s">
        <v>113</v>
      </c>
      <c r="D79" s="252" t="s">
        <v>136</v>
      </c>
      <c r="E79" s="260"/>
      <c r="F79" s="251" t="s">
        <v>115</v>
      </c>
      <c r="G79" s="252" t="s">
        <v>162</v>
      </c>
      <c r="H79" s="166"/>
      <c r="I79" s="254" t="s">
        <v>506</v>
      </c>
      <c r="J79" s="254" t="s">
        <v>155</v>
      </c>
      <c r="K79" s="255" t="s">
        <v>507</v>
      </c>
      <c r="L79" s="256" t="s">
        <v>508</v>
      </c>
      <c r="M79" s="257"/>
      <c r="N79" s="258" t="s">
        <v>182</v>
      </c>
      <c r="O79" s="259" t="s">
        <v>182</v>
      </c>
      <c r="P79" s="260"/>
      <c r="Q79" s="261" t="s">
        <v>509</v>
      </c>
      <c r="R79" s="175">
        <f t="shared" si="1"/>
        <v>2</v>
      </c>
      <c r="S79" s="148">
        <v>45794.0</v>
      </c>
      <c r="T79" s="242">
        <v>45795.0</v>
      </c>
      <c r="U79" s="162" t="str">
        <f t="shared" si="2"/>
        <v>98 days</v>
      </c>
      <c r="V79" s="262">
        <v>45696.0</v>
      </c>
      <c r="W79" s="175" t="s">
        <v>510</v>
      </c>
      <c r="X79" s="259" t="s">
        <v>29</v>
      </c>
      <c r="Y79" s="263" t="s">
        <v>29</v>
      </c>
      <c r="Z79" s="172"/>
      <c r="AA79" s="264"/>
      <c r="AB79" s="162" t="b">
        <v>1</v>
      </c>
      <c r="AC79" s="272" t="b">
        <v>0</v>
      </c>
      <c r="AD79" s="272" t="b">
        <v>0</v>
      </c>
      <c r="AE79" s="181" t="b">
        <v>0</v>
      </c>
      <c r="AF79" s="181" t="b">
        <v>0</v>
      </c>
      <c r="AG79" s="180" t="b">
        <v>0</v>
      </c>
      <c r="AH79" s="166"/>
      <c r="AI79" s="265">
        <v>4.8951E7</v>
      </c>
      <c r="AJ79" s="266"/>
      <c r="AK79" s="270"/>
      <c r="AL79" s="270"/>
      <c r="AM79" s="270"/>
      <c r="AN79" s="304"/>
      <c r="AO79" s="269"/>
      <c r="AP79" s="269"/>
      <c r="AQ79" s="269"/>
      <c r="AR79" s="163" t="b">
        <v>0</v>
      </c>
      <c r="AS79" s="186" t="b">
        <v>0</v>
      </c>
      <c r="AT79" s="270"/>
      <c r="AU79" s="270"/>
      <c r="AV79" s="270"/>
    </row>
    <row r="80">
      <c r="A80" s="103"/>
      <c r="B80" s="278">
        <v>45711.0</v>
      </c>
      <c r="C80" s="279" t="s">
        <v>113</v>
      </c>
      <c r="D80" s="280" t="s">
        <v>250</v>
      </c>
      <c r="E80" s="320"/>
      <c r="F80" s="279" t="s">
        <v>115</v>
      </c>
      <c r="G80" s="280" t="s">
        <v>162</v>
      </c>
      <c r="H80" s="139"/>
      <c r="I80" s="322" t="s">
        <v>511</v>
      </c>
      <c r="J80" s="322" t="s">
        <v>258</v>
      </c>
      <c r="K80" s="347" t="s">
        <v>512</v>
      </c>
      <c r="L80" s="348" t="s">
        <v>513</v>
      </c>
      <c r="M80" s="285"/>
      <c r="N80" s="286" t="s">
        <v>119</v>
      </c>
      <c r="O80" s="287" t="s">
        <v>120</v>
      </c>
      <c r="P80" s="346">
        <v>50.0</v>
      </c>
      <c r="Q80" s="349" t="s">
        <v>514</v>
      </c>
      <c r="R80" s="147">
        <f t="shared" si="1"/>
        <v>2</v>
      </c>
      <c r="S80" s="148">
        <v>45796.0</v>
      </c>
      <c r="T80" s="239">
        <v>45797.0</v>
      </c>
      <c r="U80" s="137" t="str">
        <f t="shared" si="2"/>
        <v>85 days</v>
      </c>
      <c r="V80" s="290">
        <v>45711.0</v>
      </c>
      <c r="W80" s="147" t="s">
        <v>515</v>
      </c>
      <c r="X80" s="287" t="s">
        <v>131</v>
      </c>
      <c r="Y80" s="291" t="s">
        <v>132</v>
      </c>
      <c r="Z80" s="151"/>
      <c r="AA80" s="292"/>
      <c r="AB80" s="137" t="b">
        <v>1</v>
      </c>
      <c r="AC80" s="147" t="b">
        <v>1</v>
      </c>
      <c r="AD80" s="147" t="b">
        <v>1</v>
      </c>
      <c r="AE80" s="154" t="b">
        <v>1</v>
      </c>
      <c r="AF80" s="155" t="b">
        <v>0</v>
      </c>
      <c r="AG80" s="154" t="b">
        <v>1</v>
      </c>
      <c r="AH80" s="139"/>
      <c r="AI80" s="293">
        <v>2.94E7</v>
      </c>
      <c r="AJ80" s="326">
        <f t="shared" ref="AJ80:AJ82" si="11">AI80</f>
        <v>29400000</v>
      </c>
      <c r="AK80" s="279" t="s">
        <v>134</v>
      </c>
      <c r="AL80" s="279" t="s">
        <v>134</v>
      </c>
      <c r="AM80" s="279" t="s">
        <v>134</v>
      </c>
      <c r="AN80" s="294" t="s">
        <v>135</v>
      </c>
      <c r="AO80" s="296"/>
      <c r="AP80" s="296"/>
      <c r="AQ80" s="296"/>
      <c r="AR80" s="138" t="b">
        <v>1</v>
      </c>
      <c r="AS80" s="149" t="b">
        <v>0</v>
      </c>
      <c r="AT80" s="297"/>
      <c r="AU80" s="297"/>
      <c r="AV80" s="297"/>
    </row>
    <row r="81">
      <c r="A81" s="103"/>
      <c r="B81" s="250">
        <v>45775.0</v>
      </c>
      <c r="C81" s="251" t="s">
        <v>113</v>
      </c>
      <c r="D81" s="252" t="s">
        <v>143</v>
      </c>
      <c r="E81" s="253" t="s">
        <v>516</v>
      </c>
      <c r="F81" s="251" t="s">
        <v>115</v>
      </c>
      <c r="G81" s="252" t="s">
        <v>192</v>
      </c>
      <c r="H81" s="166"/>
      <c r="I81" s="254" t="s">
        <v>517</v>
      </c>
      <c r="J81" s="254" t="s">
        <v>118</v>
      </c>
      <c r="K81" s="255" t="s">
        <v>518</v>
      </c>
      <c r="L81" s="303"/>
      <c r="M81" s="257"/>
      <c r="N81" s="258" t="s">
        <v>182</v>
      </c>
      <c r="O81" s="259" t="s">
        <v>238</v>
      </c>
      <c r="P81" s="253">
        <v>130.0</v>
      </c>
      <c r="Q81" s="261" t="s">
        <v>519</v>
      </c>
      <c r="R81" s="175">
        <f t="shared" si="1"/>
        <v>1</v>
      </c>
      <c r="S81" s="148">
        <v>45796.0</v>
      </c>
      <c r="T81" s="242">
        <v>45796.0</v>
      </c>
      <c r="U81" s="162" t="str">
        <f t="shared" si="2"/>
        <v>20 days</v>
      </c>
      <c r="V81" s="262">
        <v>45776.0</v>
      </c>
      <c r="W81" s="175" t="s">
        <v>520</v>
      </c>
      <c r="X81" s="259" t="s">
        <v>131</v>
      </c>
      <c r="Y81" s="263" t="s">
        <v>132</v>
      </c>
      <c r="Z81" s="172"/>
      <c r="AA81" s="264"/>
      <c r="AB81" s="162" t="b">
        <v>1</v>
      </c>
      <c r="AC81" s="175" t="b">
        <v>1</v>
      </c>
      <c r="AD81" s="175" t="b">
        <v>1</v>
      </c>
      <c r="AE81" s="180" t="b">
        <v>1</v>
      </c>
      <c r="AF81" s="180" t="b">
        <v>1</v>
      </c>
      <c r="AG81" s="180" t="b">
        <v>0</v>
      </c>
      <c r="AH81" s="166"/>
      <c r="AI81" s="364">
        <v>7.6E7</v>
      </c>
      <c r="AJ81" s="377">
        <f t="shared" si="11"/>
        <v>76000000</v>
      </c>
      <c r="AK81" s="251" t="s">
        <v>134</v>
      </c>
      <c r="AL81" s="251" t="s">
        <v>134</v>
      </c>
      <c r="AM81" s="251" t="s">
        <v>134</v>
      </c>
      <c r="AN81" s="267" t="s">
        <v>135</v>
      </c>
      <c r="AO81" s="269"/>
      <c r="AP81" s="269"/>
      <c r="AQ81" s="269"/>
      <c r="AR81" s="163" t="b">
        <v>1</v>
      </c>
      <c r="AS81" s="186" t="b">
        <v>0</v>
      </c>
      <c r="AT81" s="270"/>
      <c r="AU81" s="270"/>
      <c r="AV81" s="270"/>
    </row>
    <row r="82">
      <c r="A82" s="103"/>
      <c r="B82" s="278">
        <v>45786.0</v>
      </c>
      <c r="C82" s="279" t="s">
        <v>113</v>
      </c>
      <c r="D82" s="280" t="s">
        <v>136</v>
      </c>
      <c r="E82" s="346" t="s">
        <v>521</v>
      </c>
      <c r="F82" s="279" t="s">
        <v>115</v>
      </c>
      <c r="G82" s="280" t="s">
        <v>116</v>
      </c>
      <c r="H82" s="139"/>
      <c r="I82" s="322" t="s">
        <v>522</v>
      </c>
      <c r="J82" s="322" t="s">
        <v>118</v>
      </c>
      <c r="K82" s="347" t="s">
        <v>523</v>
      </c>
      <c r="L82" s="348" t="s">
        <v>524</v>
      </c>
      <c r="M82" s="285"/>
      <c r="N82" s="286" t="s">
        <v>119</v>
      </c>
      <c r="O82" s="287" t="s">
        <v>306</v>
      </c>
      <c r="P82" s="346">
        <v>35.0</v>
      </c>
      <c r="Q82" s="349" t="s">
        <v>525</v>
      </c>
      <c r="R82" s="147">
        <f t="shared" si="1"/>
        <v>1</v>
      </c>
      <c r="S82" s="148">
        <v>45800.0</v>
      </c>
      <c r="T82" s="380">
        <v>45800.0</v>
      </c>
      <c r="U82" s="137" t="str">
        <f t="shared" si="2"/>
        <v>14 days</v>
      </c>
      <c r="V82" s="290">
        <v>45786.0</v>
      </c>
      <c r="W82" s="147" t="s">
        <v>526</v>
      </c>
      <c r="X82" s="287" t="s">
        <v>131</v>
      </c>
      <c r="Y82" s="291" t="s">
        <v>132</v>
      </c>
      <c r="Z82" s="151"/>
      <c r="AA82" s="292"/>
      <c r="AB82" s="137" t="b">
        <v>1</v>
      </c>
      <c r="AC82" s="147" t="b">
        <v>1</v>
      </c>
      <c r="AD82" s="147" t="b">
        <v>1</v>
      </c>
      <c r="AE82" s="154" t="b">
        <v>1</v>
      </c>
      <c r="AF82" s="154" t="b">
        <v>1</v>
      </c>
      <c r="AG82" s="154" t="b">
        <v>0</v>
      </c>
      <c r="AH82" s="139"/>
      <c r="AI82" s="293">
        <v>1.684425E7</v>
      </c>
      <c r="AJ82" s="326">
        <f t="shared" si="11"/>
        <v>16844250</v>
      </c>
      <c r="AK82" s="279" t="s">
        <v>134</v>
      </c>
      <c r="AL82" s="279" t="s">
        <v>134</v>
      </c>
      <c r="AM82" s="279" t="s">
        <v>134</v>
      </c>
      <c r="AN82" s="294" t="s">
        <v>135</v>
      </c>
      <c r="AO82" s="295" t="s">
        <v>527</v>
      </c>
      <c r="AP82" s="296"/>
      <c r="AQ82" s="296"/>
      <c r="AR82" s="138" t="b">
        <v>1</v>
      </c>
      <c r="AS82" s="149" t="b">
        <v>0</v>
      </c>
      <c r="AT82" s="297"/>
      <c r="AU82" s="297"/>
      <c r="AV82" s="297"/>
    </row>
    <row r="83">
      <c r="A83" s="103"/>
      <c r="B83" s="250">
        <v>45755.0</v>
      </c>
      <c r="C83" s="251" t="s">
        <v>113</v>
      </c>
      <c r="D83" s="252" t="s">
        <v>114</v>
      </c>
      <c r="E83" s="260"/>
      <c r="F83" s="251" t="s">
        <v>153</v>
      </c>
      <c r="G83" s="252" t="s">
        <v>170</v>
      </c>
      <c r="H83" s="166"/>
      <c r="I83" s="254" t="s">
        <v>528</v>
      </c>
      <c r="J83" s="254" t="s">
        <v>118</v>
      </c>
      <c r="K83" s="255" t="s">
        <v>529</v>
      </c>
      <c r="L83" s="256" t="s">
        <v>530</v>
      </c>
      <c r="M83" s="257"/>
      <c r="N83" s="258" t="s">
        <v>119</v>
      </c>
      <c r="O83" s="259" t="s">
        <v>166</v>
      </c>
      <c r="P83" s="253">
        <v>100.0</v>
      </c>
      <c r="Q83" s="261" t="s">
        <v>531</v>
      </c>
      <c r="R83" s="175" t="str">
        <f t="shared" si="1"/>
        <v/>
      </c>
      <c r="S83" s="148">
        <v>45802.0</v>
      </c>
      <c r="T83" s="242"/>
      <c r="U83" s="162" t="str">
        <f t="shared" si="2"/>
        <v>44 days</v>
      </c>
      <c r="V83" s="262">
        <v>45758.0</v>
      </c>
      <c r="W83" s="175" t="s">
        <v>532</v>
      </c>
      <c r="X83" s="362" t="s">
        <v>29</v>
      </c>
      <c r="Y83" s="363" t="s">
        <v>29</v>
      </c>
      <c r="Z83" s="172"/>
      <c r="AA83" s="381" t="s">
        <v>225</v>
      </c>
      <c r="AB83" s="302" t="b">
        <v>0</v>
      </c>
      <c r="AC83" s="272" t="b">
        <v>0</v>
      </c>
      <c r="AD83" s="272" t="b">
        <v>0</v>
      </c>
      <c r="AE83" s="181" t="b">
        <v>0</v>
      </c>
      <c r="AF83" s="181" t="b">
        <v>0</v>
      </c>
      <c r="AG83" s="180" t="b">
        <v>0</v>
      </c>
      <c r="AH83" s="166"/>
      <c r="AI83" s="368"/>
      <c r="AJ83" s="367"/>
      <c r="AK83" s="270"/>
      <c r="AL83" s="270"/>
      <c r="AM83" s="270"/>
      <c r="AN83" s="304"/>
      <c r="AO83" s="269"/>
      <c r="AP83" s="269"/>
      <c r="AQ83" s="269"/>
      <c r="AR83" s="163" t="b">
        <v>0</v>
      </c>
      <c r="AS83" s="186" t="b">
        <v>0</v>
      </c>
      <c r="AT83" s="270"/>
      <c r="AU83" s="270"/>
      <c r="AV83" s="270"/>
    </row>
    <row r="84">
      <c r="A84" s="103"/>
      <c r="B84" s="278">
        <v>45784.0</v>
      </c>
      <c r="C84" s="279" t="s">
        <v>190</v>
      </c>
      <c r="D84" s="280" t="s">
        <v>52</v>
      </c>
      <c r="E84" s="320"/>
      <c r="F84" s="279" t="s">
        <v>277</v>
      </c>
      <c r="G84" s="280" t="s">
        <v>116</v>
      </c>
      <c r="H84" s="139"/>
      <c r="I84" s="322" t="s">
        <v>533</v>
      </c>
      <c r="J84" s="322" t="s">
        <v>118</v>
      </c>
      <c r="K84" s="347" t="s">
        <v>534</v>
      </c>
      <c r="L84" s="382" t="s">
        <v>535</v>
      </c>
      <c r="M84" s="285"/>
      <c r="N84" s="286" t="s">
        <v>119</v>
      </c>
      <c r="O84" s="287" t="s">
        <v>166</v>
      </c>
      <c r="P84" s="346">
        <v>55.0</v>
      </c>
      <c r="Q84" s="349" t="s">
        <v>290</v>
      </c>
      <c r="R84" s="147">
        <f t="shared" si="1"/>
        <v>2</v>
      </c>
      <c r="S84" s="148">
        <v>45805.0</v>
      </c>
      <c r="T84" s="239">
        <v>45806.0</v>
      </c>
      <c r="U84" s="137" t="str">
        <f t="shared" si="2"/>
        <v>21 days</v>
      </c>
      <c r="V84" s="290">
        <v>45784.0</v>
      </c>
      <c r="W84" s="147" t="s">
        <v>536</v>
      </c>
      <c r="X84" s="287" t="s">
        <v>131</v>
      </c>
      <c r="Y84" s="291" t="s">
        <v>132</v>
      </c>
      <c r="Z84" s="151"/>
      <c r="AA84" s="292"/>
      <c r="AB84" s="137" t="b">
        <v>1</v>
      </c>
      <c r="AC84" s="147" t="b">
        <v>1</v>
      </c>
      <c r="AD84" s="147" t="b">
        <v>1</v>
      </c>
      <c r="AE84" s="154" t="b">
        <v>1</v>
      </c>
      <c r="AF84" s="155" t="b">
        <v>0</v>
      </c>
      <c r="AG84" s="154" t="b">
        <v>0</v>
      </c>
      <c r="AH84" s="139"/>
      <c r="AI84" s="293">
        <v>5.2485E7</v>
      </c>
      <c r="AJ84" s="326">
        <f t="shared" ref="AJ84:AJ85" si="12">AI84</f>
        <v>52485000</v>
      </c>
      <c r="AK84" s="279" t="s">
        <v>134</v>
      </c>
      <c r="AL84" s="279" t="s">
        <v>134</v>
      </c>
      <c r="AM84" s="279" t="s">
        <v>134</v>
      </c>
      <c r="AN84" s="294" t="s">
        <v>135</v>
      </c>
      <c r="AO84" s="295" t="s">
        <v>537</v>
      </c>
      <c r="AP84" s="296"/>
      <c r="AQ84" s="296"/>
      <c r="AR84" s="138"/>
      <c r="AS84" s="149"/>
      <c r="AT84" s="383"/>
      <c r="AU84" s="297"/>
      <c r="AV84" s="297"/>
    </row>
    <row r="85">
      <c r="A85" s="103"/>
      <c r="B85" s="250">
        <v>45799.0</v>
      </c>
      <c r="C85" s="251" t="s">
        <v>190</v>
      </c>
      <c r="D85" s="252" t="s">
        <v>136</v>
      </c>
      <c r="E85" s="253" t="s">
        <v>538</v>
      </c>
      <c r="F85" s="251" t="s">
        <v>115</v>
      </c>
      <c r="G85" s="252" t="s">
        <v>170</v>
      </c>
      <c r="H85" s="166"/>
      <c r="I85" s="254" t="s">
        <v>539</v>
      </c>
      <c r="J85" s="254" t="s">
        <v>118</v>
      </c>
      <c r="K85" s="255" t="s">
        <v>540</v>
      </c>
      <c r="L85" s="256" t="s">
        <v>541</v>
      </c>
      <c r="M85" s="366" t="s">
        <v>542</v>
      </c>
      <c r="N85" s="258" t="s">
        <v>543</v>
      </c>
      <c r="O85" s="259" t="s">
        <v>166</v>
      </c>
      <c r="P85" s="253">
        <v>706.0</v>
      </c>
      <c r="Q85" s="261" t="s">
        <v>544</v>
      </c>
      <c r="R85" s="175">
        <f t="shared" si="1"/>
        <v>3</v>
      </c>
      <c r="S85" s="148">
        <v>45805.0</v>
      </c>
      <c r="T85" s="242">
        <v>45807.0</v>
      </c>
      <c r="U85" s="162" t="str">
        <f t="shared" si="2"/>
        <v>6 days</v>
      </c>
      <c r="V85" s="262">
        <v>45799.0</v>
      </c>
      <c r="W85" s="175" t="s">
        <v>545</v>
      </c>
      <c r="X85" s="259" t="s">
        <v>131</v>
      </c>
      <c r="Y85" s="263" t="s">
        <v>132</v>
      </c>
      <c r="Z85" s="172"/>
      <c r="AA85" s="264"/>
      <c r="AB85" s="162" t="b">
        <v>1</v>
      </c>
      <c r="AC85" s="175" t="b">
        <v>1</v>
      </c>
      <c r="AD85" s="175" t="b">
        <v>1</v>
      </c>
      <c r="AE85" s="180" t="b">
        <v>1</v>
      </c>
      <c r="AF85" s="180" t="b">
        <v>1</v>
      </c>
      <c r="AG85" s="180" t="b">
        <v>1</v>
      </c>
      <c r="AH85" s="166"/>
      <c r="AI85" s="265">
        <v>2.04836256E9</v>
      </c>
      <c r="AJ85" s="266">
        <f t="shared" si="12"/>
        <v>2048362560</v>
      </c>
      <c r="AK85" s="251" t="s">
        <v>134</v>
      </c>
      <c r="AL85" s="251" t="s">
        <v>134</v>
      </c>
      <c r="AM85" s="251" t="s">
        <v>134</v>
      </c>
      <c r="AN85" s="267" t="s">
        <v>135</v>
      </c>
      <c r="AO85" s="319" t="s">
        <v>546</v>
      </c>
      <c r="AP85" s="384" t="s">
        <v>547</v>
      </c>
      <c r="AQ85" s="269"/>
      <c r="AR85" s="163" t="b">
        <v>1</v>
      </c>
      <c r="AS85" s="186" t="b">
        <v>0</v>
      </c>
      <c r="AT85" s="270"/>
      <c r="AU85" s="270"/>
      <c r="AV85" s="270"/>
    </row>
    <row r="86">
      <c r="A86" s="103"/>
      <c r="B86" s="278">
        <v>45714.0</v>
      </c>
      <c r="C86" s="279" t="s">
        <v>113</v>
      </c>
      <c r="D86" s="280" t="s">
        <v>114</v>
      </c>
      <c r="E86" s="320"/>
      <c r="F86" s="279" t="s">
        <v>153</v>
      </c>
      <c r="G86" s="280" t="s">
        <v>153</v>
      </c>
      <c r="H86" s="139"/>
      <c r="I86" s="322" t="s">
        <v>548</v>
      </c>
      <c r="J86" s="322" t="s">
        <v>118</v>
      </c>
      <c r="K86" s="347" t="s">
        <v>549</v>
      </c>
      <c r="L86" s="352"/>
      <c r="M86" s="285"/>
      <c r="N86" s="286" t="s">
        <v>119</v>
      </c>
      <c r="O86" s="287" t="s">
        <v>166</v>
      </c>
      <c r="P86" s="346">
        <v>60.0</v>
      </c>
      <c r="Q86" s="349" t="s">
        <v>550</v>
      </c>
      <c r="R86" s="147" t="str">
        <f t="shared" si="1"/>
        <v/>
      </c>
      <c r="S86" s="148">
        <v>45809.0</v>
      </c>
      <c r="T86" s="239"/>
      <c r="U86" s="137" t="str">
        <f t="shared" si="2"/>
        <v>95 days</v>
      </c>
      <c r="V86" s="290">
        <v>45714.0</v>
      </c>
      <c r="W86" s="147" t="s">
        <v>551</v>
      </c>
      <c r="X86" s="287" t="s">
        <v>29</v>
      </c>
      <c r="Y86" s="291" t="s">
        <v>29</v>
      </c>
      <c r="Z86" s="151"/>
      <c r="AA86" s="292"/>
      <c r="AB86" s="150" t="b">
        <v>0</v>
      </c>
      <c r="AC86" s="153" t="b">
        <v>0</v>
      </c>
      <c r="AD86" s="153" t="b">
        <v>0</v>
      </c>
      <c r="AE86" s="155" t="b">
        <v>0</v>
      </c>
      <c r="AF86" s="155" t="b">
        <v>0</v>
      </c>
      <c r="AG86" s="154" t="b">
        <v>0</v>
      </c>
      <c r="AH86" s="139"/>
      <c r="AI86" s="385"/>
      <c r="AJ86" s="386"/>
      <c r="AK86" s="297"/>
      <c r="AL86" s="297"/>
      <c r="AM86" s="297"/>
      <c r="AN86" s="327"/>
      <c r="AO86" s="296"/>
      <c r="AP86" s="296"/>
      <c r="AQ86" s="296"/>
      <c r="AR86" s="138" t="b">
        <v>0</v>
      </c>
      <c r="AS86" s="149" t="b">
        <v>0</v>
      </c>
      <c r="AT86" s="297"/>
      <c r="AU86" s="297"/>
      <c r="AV86" s="297"/>
    </row>
    <row r="87">
      <c r="A87" s="103"/>
      <c r="B87" s="250">
        <v>45741.0</v>
      </c>
      <c r="C87" s="251" t="s">
        <v>190</v>
      </c>
      <c r="D87" s="252" t="s">
        <v>114</v>
      </c>
      <c r="E87" s="260"/>
      <c r="F87" s="251" t="s">
        <v>153</v>
      </c>
      <c r="G87" s="252" t="s">
        <v>153</v>
      </c>
      <c r="H87" s="166"/>
      <c r="I87" s="254" t="s">
        <v>552</v>
      </c>
      <c r="J87" s="254" t="s">
        <v>155</v>
      </c>
      <c r="K87" s="303"/>
      <c r="L87" s="303"/>
      <c r="M87" s="257"/>
      <c r="N87" s="258" t="s">
        <v>182</v>
      </c>
      <c r="O87" s="259" t="s">
        <v>182</v>
      </c>
      <c r="P87" s="253">
        <v>120.0</v>
      </c>
      <c r="Q87" s="261" t="s">
        <v>553</v>
      </c>
      <c r="R87" s="175" t="str">
        <f t="shared" si="1"/>
        <v/>
      </c>
      <c r="S87" s="148">
        <v>45809.0</v>
      </c>
      <c r="T87" s="242"/>
      <c r="U87" s="162" t="str">
        <f t="shared" si="2"/>
        <v>52 days</v>
      </c>
      <c r="V87" s="262">
        <v>45757.0</v>
      </c>
      <c r="W87" s="175" t="s">
        <v>554</v>
      </c>
      <c r="X87" s="259" t="s">
        <v>29</v>
      </c>
      <c r="Y87" s="263" t="s">
        <v>29</v>
      </c>
      <c r="Z87" s="172"/>
      <c r="AA87" s="264"/>
      <c r="AB87" s="302" t="b">
        <v>0</v>
      </c>
      <c r="AC87" s="272" t="b">
        <v>0</v>
      </c>
      <c r="AD87" s="272" t="b">
        <v>0</v>
      </c>
      <c r="AE87" s="181" t="b">
        <v>0</v>
      </c>
      <c r="AF87" s="181" t="b">
        <v>0</v>
      </c>
      <c r="AG87" s="180" t="b">
        <v>0</v>
      </c>
      <c r="AH87" s="166"/>
      <c r="AI87" s="368"/>
      <c r="AJ87" s="367"/>
      <c r="AK87" s="270"/>
      <c r="AL87" s="270"/>
      <c r="AM87" s="270"/>
      <c r="AN87" s="304"/>
      <c r="AO87" s="269"/>
      <c r="AP87" s="269"/>
      <c r="AQ87" s="269"/>
      <c r="AR87" s="163" t="b">
        <v>0</v>
      </c>
      <c r="AS87" s="186" t="b">
        <v>0</v>
      </c>
      <c r="AT87" s="270"/>
      <c r="AU87" s="270"/>
      <c r="AV87" s="270"/>
    </row>
    <row r="88">
      <c r="A88" s="103"/>
      <c r="B88" s="278">
        <v>45772.0</v>
      </c>
      <c r="C88" s="279" t="s">
        <v>113</v>
      </c>
      <c r="D88" s="280" t="s">
        <v>136</v>
      </c>
      <c r="E88" s="320"/>
      <c r="F88" s="279" t="s">
        <v>115</v>
      </c>
      <c r="G88" s="280" t="s">
        <v>192</v>
      </c>
      <c r="H88" s="139"/>
      <c r="I88" s="322" t="s">
        <v>555</v>
      </c>
      <c r="J88" s="322" t="s">
        <v>146</v>
      </c>
      <c r="K88" s="352"/>
      <c r="L88" s="352"/>
      <c r="M88" s="285"/>
      <c r="N88" s="286" t="s">
        <v>119</v>
      </c>
      <c r="O88" s="287" t="s">
        <v>238</v>
      </c>
      <c r="P88" s="346">
        <v>50.0</v>
      </c>
      <c r="Q88" s="349" t="s">
        <v>556</v>
      </c>
      <c r="R88" s="147">
        <f t="shared" si="1"/>
        <v>2</v>
      </c>
      <c r="S88" s="148">
        <v>45809.0</v>
      </c>
      <c r="T88" s="239">
        <v>45810.0</v>
      </c>
      <c r="U88" s="137" t="str">
        <f t="shared" si="2"/>
        <v>36 days</v>
      </c>
      <c r="V88" s="290">
        <v>45773.0</v>
      </c>
      <c r="W88" s="147" t="s">
        <v>557</v>
      </c>
      <c r="X88" s="287" t="s">
        <v>29</v>
      </c>
      <c r="Y88" s="291" t="s">
        <v>29</v>
      </c>
      <c r="Z88" s="151"/>
      <c r="AA88" s="355" t="s">
        <v>558</v>
      </c>
      <c r="AB88" s="150" t="b">
        <v>0</v>
      </c>
      <c r="AC88" s="153" t="b">
        <v>0</v>
      </c>
      <c r="AD88" s="153" t="b">
        <v>0</v>
      </c>
      <c r="AE88" s="155" t="b">
        <v>0</v>
      </c>
      <c r="AF88" s="155" t="b">
        <v>0</v>
      </c>
      <c r="AG88" s="154" t="b">
        <v>0</v>
      </c>
      <c r="AH88" s="139"/>
      <c r="AI88" s="385"/>
      <c r="AJ88" s="386"/>
      <c r="AK88" s="297"/>
      <c r="AL88" s="297"/>
      <c r="AM88" s="297"/>
      <c r="AN88" s="327"/>
      <c r="AO88" s="296"/>
      <c r="AP88" s="296"/>
      <c r="AQ88" s="296"/>
      <c r="AR88" s="138" t="b">
        <v>0</v>
      </c>
      <c r="AS88" s="149" t="b">
        <v>0</v>
      </c>
      <c r="AT88" s="297"/>
      <c r="AU88" s="297"/>
      <c r="AV88" s="297"/>
    </row>
    <row r="89">
      <c r="A89" s="103"/>
      <c r="B89" s="250">
        <v>45701.0</v>
      </c>
      <c r="C89" s="251" t="s">
        <v>113</v>
      </c>
      <c r="D89" s="252" t="s">
        <v>250</v>
      </c>
      <c r="E89" s="260"/>
      <c r="F89" s="251" t="s">
        <v>170</v>
      </c>
      <c r="G89" s="252" t="s">
        <v>170</v>
      </c>
      <c r="H89" s="166"/>
      <c r="I89" s="254" t="s">
        <v>559</v>
      </c>
      <c r="J89" s="254" t="s">
        <v>118</v>
      </c>
      <c r="K89" s="255" t="s">
        <v>560</v>
      </c>
      <c r="L89" s="256" t="s">
        <v>561</v>
      </c>
      <c r="M89" s="257"/>
      <c r="N89" s="258" t="s">
        <v>155</v>
      </c>
      <c r="O89" s="259" t="s">
        <v>174</v>
      </c>
      <c r="P89" s="253">
        <v>22.0</v>
      </c>
      <c r="Q89" s="261" t="s">
        <v>562</v>
      </c>
      <c r="R89" s="175">
        <f t="shared" si="1"/>
        <v>1</v>
      </c>
      <c r="S89" s="148">
        <v>45812.0</v>
      </c>
      <c r="T89" s="242">
        <v>45812.0</v>
      </c>
      <c r="U89" s="162" t="str">
        <f t="shared" si="2"/>
        <v>51 days</v>
      </c>
      <c r="V89" s="262">
        <v>45761.0</v>
      </c>
      <c r="W89" s="175" t="s">
        <v>563</v>
      </c>
      <c r="X89" s="259" t="s">
        <v>29</v>
      </c>
      <c r="Y89" s="263" t="s">
        <v>29</v>
      </c>
      <c r="Z89" s="172"/>
      <c r="AA89" s="264"/>
      <c r="AB89" s="302" t="b">
        <v>0</v>
      </c>
      <c r="AC89" s="272" t="b">
        <v>0</v>
      </c>
      <c r="AD89" s="272" t="b">
        <v>0</v>
      </c>
      <c r="AE89" s="181" t="b">
        <v>0</v>
      </c>
      <c r="AF89" s="181" t="b">
        <v>0</v>
      </c>
      <c r="AG89" s="180" t="b">
        <v>0</v>
      </c>
      <c r="AH89" s="166"/>
      <c r="AI89" s="265">
        <v>3.1283241E7</v>
      </c>
      <c r="AJ89" s="266"/>
      <c r="AK89" s="270"/>
      <c r="AL89" s="270"/>
      <c r="AM89" s="270"/>
      <c r="AN89" s="304"/>
      <c r="AO89" s="269"/>
      <c r="AP89" s="269"/>
      <c r="AQ89" s="269"/>
      <c r="AR89" s="163" t="b">
        <v>0</v>
      </c>
      <c r="AS89" s="186" t="b">
        <v>0</v>
      </c>
      <c r="AT89" s="270"/>
      <c r="AU89" s="270"/>
      <c r="AV89" s="270"/>
    </row>
    <row r="90">
      <c r="A90" s="103"/>
      <c r="B90" s="278">
        <v>45703.0</v>
      </c>
      <c r="C90" s="279" t="s">
        <v>113</v>
      </c>
      <c r="D90" s="280" t="s">
        <v>52</v>
      </c>
      <c r="E90" s="320"/>
      <c r="F90" s="279" t="s">
        <v>287</v>
      </c>
      <c r="G90" s="280" t="s">
        <v>287</v>
      </c>
      <c r="H90" s="139"/>
      <c r="I90" s="322" t="s">
        <v>564</v>
      </c>
      <c r="J90" s="322" t="s">
        <v>118</v>
      </c>
      <c r="K90" s="347" t="s">
        <v>565</v>
      </c>
      <c r="L90" s="348" t="s">
        <v>566</v>
      </c>
      <c r="M90" s="285"/>
      <c r="N90" s="286" t="s">
        <v>119</v>
      </c>
      <c r="O90" s="287" t="s">
        <v>120</v>
      </c>
      <c r="P90" s="346">
        <v>80.0</v>
      </c>
      <c r="Q90" s="349" t="s">
        <v>567</v>
      </c>
      <c r="R90" s="147">
        <f t="shared" si="1"/>
        <v>1</v>
      </c>
      <c r="S90" s="148">
        <v>45815.0</v>
      </c>
      <c r="T90" s="239">
        <v>45815.0</v>
      </c>
      <c r="U90" s="137" t="str">
        <f t="shared" si="2"/>
        <v>112 days</v>
      </c>
      <c r="V90" s="290">
        <v>45703.0</v>
      </c>
      <c r="W90" s="147" t="s">
        <v>568</v>
      </c>
      <c r="X90" s="287" t="s">
        <v>29</v>
      </c>
      <c r="Y90" s="291" t="s">
        <v>29</v>
      </c>
      <c r="Z90" s="151"/>
      <c r="AA90" s="292"/>
      <c r="AB90" s="150" t="b">
        <v>0</v>
      </c>
      <c r="AC90" s="153" t="b">
        <v>0</v>
      </c>
      <c r="AD90" s="153" t="b">
        <v>0</v>
      </c>
      <c r="AE90" s="155" t="b">
        <v>0</v>
      </c>
      <c r="AF90" s="155" t="b">
        <v>0</v>
      </c>
      <c r="AG90" s="154" t="b">
        <v>0</v>
      </c>
      <c r="AH90" s="139"/>
      <c r="AI90" s="293">
        <v>3.5298E7</v>
      </c>
      <c r="AJ90" s="326"/>
      <c r="AK90" s="297"/>
      <c r="AL90" s="297"/>
      <c r="AM90" s="297"/>
      <c r="AN90" s="327"/>
      <c r="AO90" s="296"/>
      <c r="AP90" s="296"/>
      <c r="AQ90" s="296"/>
      <c r="AR90" s="138" t="b">
        <v>0</v>
      </c>
      <c r="AS90" s="149" t="b">
        <v>0</v>
      </c>
      <c r="AT90" s="297"/>
      <c r="AU90" s="297"/>
      <c r="AV90" s="297"/>
    </row>
    <row r="91">
      <c r="A91" s="103"/>
      <c r="B91" s="250">
        <v>45793.0</v>
      </c>
      <c r="C91" s="251" t="s">
        <v>113</v>
      </c>
      <c r="D91" s="252" t="s">
        <v>114</v>
      </c>
      <c r="E91" s="260"/>
      <c r="F91" s="251" t="s">
        <v>115</v>
      </c>
      <c r="G91" s="252" t="s">
        <v>287</v>
      </c>
      <c r="H91" s="166"/>
      <c r="I91" s="254" t="s">
        <v>569</v>
      </c>
      <c r="J91" s="254" t="s">
        <v>118</v>
      </c>
      <c r="K91" s="255" t="s">
        <v>570</v>
      </c>
      <c r="L91" s="303"/>
      <c r="M91" s="257"/>
      <c r="N91" s="258" t="s">
        <v>119</v>
      </c>
      <c r="O91" s="259" t="s">
        <v>138</v>
      </c>
      <c r="P91" s="253">
        <v>30.0</v>
      </c>
      <c r="Q91" s="261" t="s">
        <v>571</v>
      </c>
      <c r="R91" s="175">
        <f t="shared" si="1"/>
        <v>2</v>
      </c>
      <c r="S91" s="148">
        <v>45815.0</v>
      </c>
      <c r="T91" s="242">
        <v>45816.0</v>
      </c>
      <c r="U91" s="162" t="str">
        <f t="shared" si="2"/>
        <v>22 days</v>
      </c>
      <c r="V91" s="262">
        <v>45793.0</v>
      </c>
      <c r="W91" s="175" t="s">
        <v>572</v>
      </c>
      <c r="X91" s="259" t="s">
        <v>29</v>
      </c>
      <c r="Y91" s="263" t="s">
        <v>29</v>
      </c>
      <c r="Z91" s="172"/>
      <c r="AA91" s="264"/>
      <c r="AB91" s="302" t="b">
        <v>0</v>
      </c>
      <c r="AC91" s="272" t="b">
        <v>0</v>
      </c>
      <c r="AD91" s="272" t="b">
        <v>0</v>
      </c>
      <c r="AE91" s="181" t="b">
        <v>0</v>
      </c>
      <c r="AF91" s="181" t="b">
        <v>0</v>
      </c>
      <c r="AG91" s="180" t="b">
        <v>0</v>
      </c>
      <c r="AH91" s="166"/>
      <c r="AI91" s="368"/>
      <c r="AJ91" s="367"/>
      <c r="AK91" s="270"/>
      <c r="AL91" s="270"/>
      <c r="AM91" s="270"/>
      <c r="AN91" s="304"/>
      <c r="AO91" s="269"/>
      <c r="AP91" s="269"/>
      <c r="AQ91" s="269"/>
      <c r="AR91" s="163" t="b">
        <v>0</v>
      </c>
      <c r="AS91" s="186" t="b">
        <v>0</v>
      </c>
      <c r="AT91" s="270"/>
      <c r="AU91" s="270"/>
      <c r="AV91" s="270"/>
    </row>
    <row r="92">
      <c r="A92" s="103"/>
      <c r="B92" s="250">
        <v>45815.0</v>
      </c>
      <c r="C92" s="387" t="s">
        <v>190</v>
      </c>
      <c r="D92" s="388" t="s">
        <v>136</v>
      </c>
      <c r="E92" s="389" t="s">
        <v>205</v>
      </c>
      <c r="F92" s="251" t="s">
        <v>357</v>
      </c>
      <c r="G92" s="252" t="s">
        <v>192</v>
      </c>
      <c r="H92" s="166"/>
      <c r="I92" s="390" t="s">
        <v>573</v>
      </c>
      <c r="J92" s="254" t="s">
        <v>118</v>
      </c>
      <c r="K92" s="255" t="s">
        <v>574</v>
      </c>
      <c r="L92" s="256" t="s">
        <v>575</v>
      </c>
      <c r="M92" s="391"/>
      <c r="N92" s="258" t="s">
        <v>182</v>
      </c>
      <c r="O92" s="259" t="s">
        <v>182</v>
      </c>
      <c r="P92" s="389">
        <v>1.0</v>
      </c>
      <c r="Q92" s="392" t="s">
        <v>203</v>
      </c>
      <c r="R92" s="147">
        <f t="shared" si="1"/>
        <v>1</v>
      </c>
      <c r="S92" s="393">
        <v>45821.0</v>
      </c>
      <c r="T92" s="242">
        <v>45821.0</v>
      </c>
      <c r="U92" s="162" t="str">
        <f t="shared" si="2"/>
        <v>3 days</v>
      </c>
      <c r="V92" s="262">
        <v>45818.0</v>
      </c>
      <c r="W92" s="147" t="s">
        <v>576</v>
      </c>
      <c r="X92" s="259" t="s">
        <v>131</v>
      </c>
      <c r="Y92" s="263" t="s">
        <v>132</v>
      </c>
      <c r="Z92" s="394"/>
      <c r="AA92" s="395"/>
      <c r="AB92" s="396" t="b">
        <v>1</v>
      </c>
      <c r="AC92" s="397" t="b">
        <v>1</v>
      </c>
      <c r="AD92" s="397" t="b">
        <v>1</v>
      </c>
      <c r="AE92" s="398" t="b">
        <v>1</v>
      </c>
      <c r="AF92" s="398" t="b">
        <v>1</v>
      </c>
      <c r="AG92" s="154" t="b">
        <v>0</v>
      </c>
      <c r="AH92" s="399"/>
      <c r="AI92" s="400">
        <v>3500000.0</v>
      </c>
      <c r="AJ92" s="401">
        <f t="shared" ref="AJ92:AJ95" si="13">AI92</f>
        <v>3500000</v>
      </c>
      <c r="AK92" s="402" t="s">
        <v>134</v>
      </c>
      <c r="AL92" s="402" t="s">
        <v>134</v>
      </c>
      <c r="AM92" s="402" t="s">
        <v>134</v>
      </c>
      <c r="AN92" s="267" t="s">
        <v>135</v>
      </c>
      <c r="AO92" s="403"/>
      <c r="AP92" s="403"/>
      <c r="AQ92" s="403"/>
      <c r="AR92" s="163" t="b">
        <v>0</v>
      </c>
      <c r="AS92" s="186" t="b">
        <v>0</v>
      </c>
      <c r="AT92" s="404"/>
      <c r="AU92" s="297"/>
      <c r="AV92" s="297"/>
    </row>
    <row r="93">
      <c r="A93" s="103"/>
      <c r="B93" s="250">
        <v>45819.0</v>
      </c>
      <c r="C93" s="251" t="s">
        <v>190</v>
      </c>
      <c r="D93" s="252" t="s">
        <v>136</v>
      </c>
      <c r="E93" s="253" t="s">
        <v>577</v>
      </c>
      <c r="F93" s="251" t="s">
        <v>115</v>
      </c>
      <c r="G93" s="252" t="s">
        <v>192</v>
      </c>
      <c r="H93" s="166"/>
      <c r="I93" s="254" t="s">
        <v>578</v>
      </c>
      <c r="J93" s="254" t="s">
        <v>118</v>
      </c>
      <c r="K93" s="255" t="s">
        <v>574</v>
      </c>
      <c r="L93" s="256" t="s">
        <v>575</v>
      </c>
      <c r="M93" s="257"/>
      <c r="N93" s="258" t="s">
        <v>182</v>
      </c>
      <c r="O93" s="259" t="s">
        <v>182</v>
      </c>
      <c r="P93" s="260"/>
      <c r="Q93" s="261" t="s">
        <v>203</v>
      </c>
      <c r="R93" s="175">
        <f t="shared" si="1"/>
        <v>1</v>
      </c>
      <c r="S93" s="148">
        <v>45821.0</v>
      </c>
      <c r="T93" s="242">
        <v>45821.0</v>
      </c>
      <c r="U93" s="162" t="str">
        <f t="shared" si="2"/>
        <v>2 days</v>
      </c>
      <c r="V93" s="262">
        <v>45819.0</v>
      </c>
      <c r="W93" s="175" t="s">
        <v>579</v>
      </c>
      <c r="X93" s="259" t="s">
        <v>131</v>
      </c>
      <c r="Y93" s="263" t="s">
        <v>132</v>
      </c>
      <c r="Z93" s="172"/>
      <c r="AA93" s="264"/>
      <c r="AB93" s="162" t="b">
        <v>1</v>
      </c>
      <c r="AC93" s="272" t="b">
        <v>0</v>
      </c>
      <c r="AD93" s="175" t="b">
        <v>1</v>
      </c>
      <c r="AE93" s="180" t="b">
        <v>1</v>
      </c>
      <c r="AF93" s="181" t="b">
        <v>0</v>
      </c>
      <c r="AG93" s="180" t="b">
        <v>0</v>
      </c>
      <c r="AH93" s="166"/>
      <c r="AI93" s="266">
        <v>3500000.0</v>
      </c>
      <c r="AJ93" s="266">
        <f t="shared" si="13"/>
        <v>3500000</v>
      </c>
      <c r="AK93" s="251" t="s">
        <v>134</v>
      </c>
      <c r="AL93" s="251" t="s">
        <v>134</v>
      </c>
      <c r="AM93" s="251" t="s">
        <v>134</v>
      </c>
      <c r="AN93" s="267" t="s">
        <v>135</v>
      </c>
      <c r="AO93" s="269"/>
      <c r="AP93" s="269"/>
      <c r="AQ93" s="269"/>
      <c r="AR93" s="163" t="b">
        <v>0</v>
      </c>
      <c r="AS93" s="186" t="b">
        <v>0</v>
      </c>
      <c r="AT93" s="270"/>
      <c r="AU93" s="270"/>
      <c r="AV93" s="270"/>
    </row>
    <row r="94">
      <c r="A94" s="103"/>
      <c r="B94" s="278">
        <v>45778.0</v>
      </c>
      <c r="C94" s="279" t="s">
        <v>113</v>
      </c>
      <c r="D94" s="280" t="s">
        <v>136</v>
      </c>
      <c r="E94" s="346" t="s">
        <v>580</v>
      </c>
      <c r="F94" s="279" t="s">
        <v>115</v>
      </c>
      <c r="G94" s="280" t="s">
        <v>116</v>
      </c>
      <c r="H94" s="139"/>
      <c r="I94" s="322" t="s">
        <v>581</v>
      </c>
      <c r="J94" s="322" t="s">
        <v>155</v>
      </c>
      <c r="K94" s="347" t="s">
        <v>582</v>
      </c>
      <c r="L94" s="348" t="s">
        <v>583</v>
      </c>
      <c r="M94" s="285"/>
      <c r="N94" s="286" t="s">
        <v>155</v>
      </c>
      <c r="O94" s="287" t="s">
        <v>196</v>
      </c>
      <c r="P94" s="346">
        <v>80.0</v>
      </c>
      <c r="Q94" s="349" t="s">
        <v>415</v>
      </c>
      <c r="R94" s="147">
        <f t="shared" si="1"/>
        <v>1</v>
      </c>
      <c r="S94" s="148">
        <v>45822.0</v>
      </c>
      <c r="T94" s="239">
        <v>45822.0</v>
      </c>
      <c r="U94" s="137" t="str">
        <f t="shared" si="2"/>
        <v>44 days</v>
      </c>
      <c r="V94" s="290">
        <v>45778.0</v>
      </c>
      <c r="W94" s="147" t="s">
        <v>584</v>
      </c>
      <c r="X94" s="287" t="s">
        <v>131</v>
      </c>
      <c r="Y94" s="291" t="s">
        <v>132</v>
      </c>
      <c r="Z94" s="151"/>
      <c r="AA94" s="292"/>
      <c r="AB94" s="137" t="b">
        <v>1</v>
      </c>
      <c r="AC94" s="147" t="b">
        <v>1</v>
      </c>
      <c r="AD94" s="147" t="b">
        <v>1</v>
      </c>
      <c r="AE94" s="154" t="b">
        <v>1</v>
      </c>
      <c r="AF94" s="155" t="b">
        <v>0</v>
      </c>
      <c r="AG94" s="154" t="b">
        <v>0</v>
      </c>
      <c r="AH94" s="139"/>
      <c r="AI94" s="326">
        <v>2.967E7</v>
      </c>
      <c r="AJ94" s="326">
        <f t="shared" si="13"/>
        <v>29670000</v>
      </c>
      <c r="AK94" s="279" t="s">
        <v>134</v>
      </c>
      <c r="AL94" s="279" t="s">
        <v>134</v>
      </c>
      <c r="AM94" s="279" t="s">
        <v>134</v>
      </c>
      <c r="AN94" s="294" t="s">
        <v>135</v>
      </c>
      <c r="AO94" s="296"/>
      <c r="AP94" s="296"/>
      <c r="AQ94" s="296"/>
      <c r="AR94" s="138" t="b">
        <v>0</v>
      </c>
      <c r="AS94" s="149" t="b">
        <v>0</v>
      </c>
      <c r="AT94" s="297"/>
      <c r="AU94" s="297"/>
      <c r="AV94" s="297"/>
    </row>
    <row r="95">
      <c r="A95" s="103"/>
      <c r="B95" s="250">
        <v>45819.0</v>
      </c>
      <c r="C95" s="251" t="s">
        <v>113</v>
      </c>
      <c r="D95" s="252" t="s">
        <v>136</v>
      </c>
      <c r="E95" s="253" t="s">
        <v>580</v>
      </c>
      <c r="F95" s="251" t="s">
        <v>115</v>
      </c>
      <c r="G95" s="252" t="s">
        <v>116</v>
      </c>
      <c r="H95" s="166"/>
      <c r="I95" s="254" t="s">
        <v>581</v>
      </c>
      <c r="J95" s="254" t="s">
        <v>155</v>
      </c>
      <c r="K95" s="255" t="s">
        <v>582</v>
      </c>
      <c r="L95" s="405" t="s">
        <v>585</v>
      </c>
      <c r="M95" s="257"/>
      <c r="N95" s="258" t="s">
        <v>155</v>
      </c>
      <c r="O95" s="259" t="s">
        <v>182</v>
      </c>
      <c r="P95" s="260"/>
      <c r="Q95" s="261" t="s">
        <v>415</v>
      </c>
      <c r="R95" s="175">
        <f t="shared" si="1"/>
        <v>1</v>
      </c>
      <c r="S95" s="148">
        <v>45822.0</v>
      </c>
      <c r="T95" s="242">
        <v>45822.0</v>
      </c>
      <c r="U95" s="162" t="str">
        <f t="shared" si="2"/>
        <v>3 days</v>
      </c>
      <c r="V95" s="262">
        <v>45819.0</v>
      </c>
      <c r="W95" s="175" t="s">
        <v>586</v>
      </c>
      <c r="X95" s="259" t="s">
        <v>131</v>
      </c>
      <c r="Y95" s="263" t="s">
        <v>132</v>
      </c>
      <c r="Z95" s="172"/>
      <c r="AA95" s="264"/>
      <c r="AB95" s="162" t="b">
        <v>1</v>
      </c>
      <c r="AC95" s="175" t="b">
        <v>1</v>
      </c>
      <c r="AD95" s="175" t="b">
        <v>1</v>
      </c>
      <c r="AE95" s="180" t="b">
        <v>0</v>
      </c>
      <c r="AF95" s="181" t="b">
        <v>0</v>
      </c>
      <c r="AG95" s="180" t="b">
        <v>0</v>
      </c>
      <c r="AH95" s="166"/>
      <c r="AI95" s="266">
        <v>3800000.0</v>
      </c>
      <c r="AJ95" s="266">
        <f t="shared" si="13"/>
        <v>3800000</v>
      </c>
      <c r="AK95" s="251" t="s">
        <v>134</v>
      </c>
      <c r="AL95" s="251" t="s">
        <v>134</v>
      </c>
      <c r="AM95" s="251" t="s">
        <v>134</v>
      </c>
      <c r="AN95" s="267" t="s">
        <v>135</v>
      </c>
      <c r="AO95" s="269"/>
      <c r="AP95" s="269"/>
      <c r="AQ95" s="269"/>
      <c r="AR95" s="163" t="b">
        <v>0</v>
      </c>
      <c r="AS95" s="186" t="b">
        <v>0</v>
      </c>
      <c r="AT95" s="270"/>
      <c r="AU95" s="270"/>
      <c r="AV95" s="270"/>
    </row>
    <row r="96">
      <c r="A96" s="103"/>
      <c r="B96" s="278">
        <v>45797.0</v>
      </c>
      <c r="C96" s="279" t="s">
        <v>190</v>
      </c>
      <c r="D96" s="280" t="s">
        <v>136</v>
      </c>
      <c r="E96" s="346" t="s">
        <v>587</v>
      </c>
      <c r="F96" s="279" t="s">
        <v>115</v>
      </c>
      <c r="G96" s="280" t="s">
        <v>116</v>
      </c>
      <c r="H96" s="139"/>
      <c r="I96" s="322" t="s">
        <v>588</v>
      </c>
      <c r="J96" s="322" t="s">
        <v>155</v>
      </c>
      <c r="K96" s="347" t="s">
        <v>589</v>
      </c>
      <c r="L96" s="406" t="s">
        <v>585</v>
      </c>
      <c r="M96" s="285"/>
      <c r="N96" s="286" t="s">
        <v>119</v>
      </c>
      <c r="O96" s="287" t="s">
        <v>196</v>
      </c>
      <c r="P96" s="346">
        <v>114.0</v>
      </c>
      <c r="Q96" s="349" t="s">
        <v>590</v>
      </c>
      <c r="R96" s="147">
        <f t="shared" si="1"/>
        <v>1</v>
      </c>
      <c r="S96" s="148">
        <v>45823.0</v>
      </c>
      <c r="T96" s="239">
        <v>45823.0</v>
      </c>
      <c r="U96" s="137" t="str">
        <f t="shared" si="2"/>
        <v>26 days</v>
      </c>
      <c r="V96" s="290">
        <v>45797.0</v>
      </c>
      <c r="W96" s="147" t="s">
        <v>591</v>
      </c>
      <c r="X96" s="287" t="s">
        <v>131</v>
      </c>
      <c r="Y96" s="291" t="s">
        <v>132</v>
      </c>
      <c r="Z96" s="151"/>
      <c r="AA96" s="292"/>
      <c r="AB96" s="137" t="b">
        <v>1</v>
      </c>
      <c r="AC96" s="147" t="b">
        <v>1</v>
      </c>
      <c r="AD96" s="147" t="b">
        <v>1</v>
      </c>
      <c r="AE96" s="155" t="b">
        <v>0</v>
      </c>
      <c r="AF96" s="155" t="b">
        <v>0</v>
      </c>
      <c r="AG96" s="154" t="b">
        <v>0</v>
      </c>
      <c r="AH96" s="139"/>
      <c r="AI96" s="326">
        <v>1.107E7</v>
      </c>
      <c r="AJ96" s="326"/>
      <c r="AK96" s="279" t="s">
        <v>134</v>
      </c>
      <c r="AL96" s="279" t="s">
        <v>134</v>
      </c>
      <c r="AM96" s="279" t="s">
        <v>134</v>
      </c>
      <c r="AN96" s="294" t="s">
        <v>135</v>
      </c>
      <c r="AO96" s="296"/>
      <c r="AP96" s="296"/>
      <c r="AQ96" s="296"/>
      <c r="AR96" s="138" t="b">
        <v>1</v>
      </c>
      <c r="AS96" s="149" t="b">
        <v>0</v>
      </c>
      <c r="AT96" s="297"/>
      <c r="AU96" s="297"/>
      <c r="AV96" s="297"/>
    </row>
    <row r="97">
      <c r="A97" s="103"/>
      <c r="B97" s="250">
        <v>45805.0</v>
      </c>
      <c r="C97" s="251" t="s">
        <v>113</v>
      </c>
      <c r="D97" s="252" t="s">
        <v>250</v>
      </c>
      <c r="E97" s="253"/>
      <c r="F97" s="251" t="s">
        <v>115</v>
      </c>
      <c r="G97" s="252" t="s">
        <v>170</v>
      </c>
      <c r="H97" s="166"/>
      <c r="I97" s="254" t="s">
        <v>592</v>
      </c>
      <c r="J97" s="254" t="s">
        <v>118</v>
      </c>
      <c r="K97" s="255" t="s">
        <v>593</v>
      </c>
      <c r="L97" s="255"/>
      <c r="M97" s="257"/>
      <c r="N97" s="258" t="s">
        <v>119</v>
      </c>
      <c r="O97" s="259" t="s">
        <v>166</v>
      </c>
      <c r="P97" s="253">
        <v>50.0</v>
      </c>
      <c r="Q97" s="261" t="s">
        <v>295</v>
      </c>
      <c r="R97" s="175">
        <f t="shared" si="1"/>
        <v>4</v>
      </c>
      <c r="S97" s="148">
        <v>45827.0</v>
      </c>
      <c r="T97" s="242">
        <v>45830.0</v>
      </c>
      <c r="U97" s="162" t="str">
        <f t="shared" si="2"/>
        <v>22 days</v>
      </c>
      <c r="V97" s="262">
        <v>45805.0</v>
      </c>
      <c r="W97" s="175" t="s">
        <v>594</v>
      </c>
      <c r="X97" s="259" t="s">
        <v>29</v>
      </c>
      <c r="Y97" s="263" t="s">
        <v>29</v>
      </c>
      <c r="Z97" s="172"/>
      <c r="AA97" s="264"/>
      <c r="AB97" s="302" t="b">
        <v>0</v>
      </c>
      <c r="AC97" s="272" t="b">
        <v>0</v>
      </c>
      <c r="AD97" s="272" t="b">
        <v>0</v>
      </c>
      <c r="AE97" s="181" t="b">
        <v>0</v>
      </c>
      <c r="AF97" s="181" t="b">
        <v>0</v>
      </c>
      <c r="AG97" s="180" t="b">
        <v>0</v>
      </c>
      <c r="AH97" s="166"/>
      <c r="AI97" s="265">
        <v>2.1581175E8</v>
      </c>
      <c r="AJ97" s="266"/>
      <c r="AK97" s="270"/>
      <c r="AL97" s="270"/>
      <c r="AM97" s="270"/>
      <c r="AN97" s="304"/>
      <c r="AO97" s="269"/>
      <c r="AP97" s="269"/>
      <c r="AQ97" s="269"/>
      <c r="AR97" s="163" t="b">
        <v>0</v>
      </c>
      <c r="AS97" s="186" t="b">
        <v>0</v>
      </c>
      <c r="AT97" s="270"/>
      <c r="AU97" s="270"/>
      <c r="AV97" s="270"/>
    </row>
    <row r="98">
      <c r="A98" s="103"/>
      <c r="B98" s="278">
        <v>45538.0</v>
      </c>
      <c r="C98" s="279" t="s">
        <v>113</v>
      </c>
      <c r="D98" s="280" t="s">
        <v>136</v>
      </c>
      <c r="E98" s="320"/>
      <c r="F98" s="279" t="s">
        <v>115</v>
      </c>
      <c r="G98" s="280" t="s">
        <v>116</v>
      </c>
      <c r="H98" s="139"/>
      <c r="I98" s="322" t="s">
        <v>595</v>
      </c>
      <c r="J98" s="322" t="s">
        <v>258</v>
      </c>
      <c r="K98" s="347" t="s">
        <v>596</v>
      </c>
      <c r="L98" s="352"/>
      <c r="M98" s="285"/>
      <c r="N98" s="286" t="s">
        <v>155</v>
      </c>
      <c r="O98" s="287" t="s">
        <v>196</v>
      </c>
      <c r="P98" s="346">
        <v>60.0</v>
      </c>
      <c r="Q98" s="349" t="s">
        <v>556</v>
      </c>
      <c r="R98" s="147">
        <f t="shared" si="1"/>
        <v>1</v>
      </c>
      <c r="S98" s="148">
        <v>45829.0</v>
      </c>
      <c r="T98" s="239">
        <v>45829.0</v>
      </c>
      <c r="U98" s="137" t="str">
        <f t="shared" si="2"/>
        <v>291 days</v>
      </c>
      <c r="V98" s="290">
        <v>45538.0</v>
      </c>
      <c r="W98" s="147" t="s">
        <v>597</v>
      </c>
      <c r="X98" s="287" t="s">
        <v>131</v>
      </c>
      <c r="Y98" s="291" t="s">
        <v>132</v>
      </c>
      <c r="Z98" s="151"/>
      <c r="AA98" s="292"/>
      <c r="AB98" s="150" t="b">
        <v>0</v>
      </c>
      <c r="AC98" s="153" t="b">
        <v>0</v>
      </c>
      <c r="AD98" s="153" t="b">
        <v>0</v>
      </c>
      <c r="AE98" s="155" t="b">
        <v>0</v>
      </c>
      <c r="AF98" s="155" t="b">
        <v>0</v>
      </c>
      <c r="AG98" s="154" t="b">
        <v>0</v>
      </c>
      <c r="AH98" s="139"/>
      <c r="AI98" s="293">
        <v>1.65E7</v>
      </c>
      <c r="AJ98" s="326">
        <f>AI98</f>
        <v>16500000</v>
      </c>
      <c r="AK98" s="279" t="s">
        <v>134</v>
      </c>
      <c r="AL98" s="279" t="s">
        <v>134</v>
      </c>
      <c r="AM98" s="279" t="s">
        <v>134</v>
      </c>
      <c r="AN98" s="294" t="s">
        <v>135</v>
      </c>
      <c r="AO98" s="296"/>
      <c r="AP98" s="296"/>
      <c r="AQ98" s="296"/>
      <c r="AR98" s="138" t="b">
        <v>1</v>
      </c>
      <c r="AS98" s="149" t="b">
        <v>0</v>
      </c>
      <c r="AT98" s="297"/>
      <c r="AU98" s="297"/>
      <c r="AV98" s="297"/>
    </row>
    <row r="99">
      <c r="A99" s="103"/>
      <c r="B99" s="250">
        <v>45776.0</v>
      </c>
      <c r="C99" s="251" t="s">
        <v>113</v>
      </c>
      <c r="D99" s="252" t="s">
        <v>136</v>
      </c>
      <c r="E99" s="253" t="s">
        <v>598</v>
      </c>
      <c r="F99" s="251" t="s">
        <v>115</v>
      </c>
      <c r="G99" s="252" t="s">
        <v>170</v>
      </c>
      <c r="H99" s="166"/>
      <c r="I99" s="254" t="s">
        <v>599</v>
      </c>
      <c r="J99" s="254" t="s">
        <v>118</v>
      </c>
      <c r="K99" s="255" t="s">
        <v>600</v>
      </c>
      <c r="L99" s="255"/>
      <c r="M99" s="257"/>
      <c r="N99" s="258" t="s">
        <v>119</v>
      </c>
      <c r="O99" s="259" t="s">
        <v>120</v>
      </c>
      <c r="P99" s="253">
        <v>300.0</v>
      </c>
      <c r="Q99" s="261" t="s">
        <v>601</v>
      </c>
      <c r="R99" s="175">
        <f t="shared" si="1"/>
        <v>1</v>
      </c>
      <c r="S99" s="378">
        <v>45829.0</v>
      </c>
      <c r="T99" s="407">
        <v>45829.0</v>
      </c>
      <c r="U99" s="162" t="str">
        <f t="shared" si="2"/>
        <v>23 days</v>
      </c>
      <c r="V99" s="262">
        <v>45806.0</v>
      </c>
      <c r="W99" s="175" t="s">
        <v>602</v>
      </c>
      <c r="X99" s="259" t="s">
        <v>29</v>
      </c>
      <c r="Y99" s="263" t="s">
        <v>29</v>
      </c>
      <c r="Z99" s="172"/>
      <c r="AA99" s="305" t="s">
        <v>160</v>
      </c>
      <c r="AB99" s="162" t="b">
        <v>0</v>
      </c>
      <c r="AC99" s="272" t="b">
        <v>0</v>
      </c>
      <c r="AD99" s="175" t="b">
        <v>1</v>
      </c>
      <c r="AE99" s="181" t="b">
        <v>0</v>
      </c>
      <c r="AF99" s="180" t="b">
        <v>1</v>
      </c>
      <c r="AG99" s="180" t="b">
        <v>0</v>
      </c>
      <c r="AH99" s="166"/>
      <c r="AI99" s="265">
        <v>2.99615715E8</v>
      </c>
      <c r="AJ99" s="266"/>
      <c r="AK99" s="270"/>
      <c r="AL99" s="270"/>
      <c r="AM99" s="270"/>
      <c r="AN99" s="304"/>
      <c r="AO99" s="269"/>
      <c r="AP99" s="269"/>
      <c r="AQ99" s="269"/>
      <c r="AR99" s="163" t="b">
        <v>0</v>
      </c>
      <c r="AS99" s="186" t="b">
        <v>0</v>
      </c>
      <c r="AT99" s="270"/>
      <c r="AU99" s="270"/>
      <c r="AV99" s="270"/>
    </row>
    <row r="100">
      <c r="A100" s="103"/>
      <c r="B100" s="278">
        <v>45769.0</v>
      </c>
      <c r="C100" s="279" t="s">
        <v>113</v>
      </c>
      <c r="D100" s="280" t="s">
        <v>250</v>
      </c>
      <c r="E100" s="320"/>
      <c r="F100" s="279" t="s">
        <v>115</v>
      </c>
      <c r="G100" s="280" t="s">
        <v>116</v>
      </c>
      <c r="H100" s="139"/>
      <c r="I100" s="322" t="s">
        <v>603</v>
      </c>
      <c r="J100" s="322" t="s">
        <v>118</v>
      </c>
      <c r="K100" s="347" t="s">
        <v>604</v>
      </c>
      <c r="L100" s="348" t="s">
        <v>605</v>
      </c>
      <c r="M100" s="408" t="s">
        <v>606</v>
      </c>
      <c r="N100" s="286" t="s">
        <v>127</v>
      </c>
      <c r="O100" s="287" t="s">
        <v>128</v>
      </c>
      <c r="P100" s="320"/>
      <c r="Q100" s="349" t="s">
        <v>607</v>
      </c>
      <c r="R100" s="147" t="str">
        <f t="shared" si="1"/>
        <v/>
      </c>
      <c r="S100" s="148">
        <v>45834.0</v>
      </c>
      <c r="T100" s="239"/>
      <c r="U100" s="137" t="str">
        <f t="shared" si="2"/>
        <v>65 days</v>
      </c>
      <c r="V100" s="290">
        <v>45769.0</v>
      </c>
      <c r="W100" s="147" t="s">
        <v>608</v>
      </c>
      <c r="X100" s="287" t="s">
        <v>29</v>
      </c>
      <c r="Y100" s="291" t="s">
        <v>29</v>
      </c>
      <c r="Z100" s="151"/>
      <c r="AA100" s="355" t="s">
        <v>123</v>
      </c>
      <c r="AB100" s="150" t="b">
        <v>0</v>
      </c>
      <c r="AC100" s="153" t="b">
        <v>0</v>
      </c>
      <c r="AD100" s="153" t="b">
        <v>0</v>
      </c>
      <c r="AE100" s="155" t="b">
        <v>0</v>
      </c>
      <c r="AF100" s="155" t="b">
        <v>0</v>
      </c>
      <c r="AG100" s="154" t="b">
        <v>0</v>
      </c>
      <c r="AH100" s="139"/>
      <c r="AI100" s="293">
        <v>9500000.0</v>
      </c>
      <c r="AJ100" s="326"/>
      <c r="AK100" s="297"/>
      <c r="AL100" s="297"/>
      <c r="AM100" s="297"/>
      <c r="AN100" s="327"/>
      <c r="AO100" s="296"/>
      <c r="AP100" s="296"/>
      <c r="AQ100" s="296"/>
      <c r="AR100" s="138" t="b">
        <v>0</v>
      </c>
      <c r="AS100" s="149" t="b">
        <v>0</v>
      </c>
      <c r="AT100" s="297"/>
      <c r="AU100" s="297"/>
      <c r="AV100" s="297"/>
    </row>
    <row r="101">
      <c r="A101" s="103"/>
      <c r="B101" s="250">
        <v>45817.0</v>
      </c>
      <c r="C101" s="251" t="s">
        <v>113</v>
      </c>
      <c r="D101" s="252" t="s">
        <v>250</v>
      </c>
      <c r="E101" s="253"/>
      <c r="F101" s="251" t="s">
        <v>170</v>
      </c>
      <c r="G101" s="252" t="s">
        <v>170</v>
      </c>
      <c r="H101" s="166"/>
      <c r="I101" s="254" t="s">
        <v>609</v>
      </c>
      <c r="J101" s="254" t="s">
        <v>146</v>
      </c>
      <c r="K101" s="255" t="s">
        <v>610</v>
      </c>
      <c r="L101" s="256" t="s">
        <v>611</v>
      </c>
      <c r="M101" s="257"/>
      <c r="N101" s="258" t="s">
        <v>119</v>
      </c>
      <c r="O101" s="259" t="s">
        <v>166</v>
      </c>
      <c r="P101" s="253">
        <v>20.0</v>
      </c>
      <c r="Q101" s="261" t="s">
        <v>612</v>
      </c>
      <c r="R101" s="175">
        <f t="shared" si="1"/>
        <v>3</v>
      </c>
      <c r="S101" s="409">
        <v>45835.0</v>
      </c>
      <c r="T101" s="242">
        <v>45837.0</v>
      </c>
      <c r="U101" s="162" t="str">
        <f t="shared" si="2"/>
        <v>18 days</v>
      </c>
      <c r="V101" s="262">
        <v>45817.0</v>
      </c>
      <c r="W101" s="175" t="s">
        <v>613</v>
      </c>
      <c r="X101" s="259" t="s">
        <v>29</v>
      </c>
      <c r="Y101" s="263" t="s">
        <v>29</v>
      </c>
      <c r="Z101" s="172" t="s">
        <v>614</v>
      </c>
      <c r="AA101" s="264"/>
      <c r="AB101" s="302" t="b">
        <v>0</v>
      </c>
      <c r="AC101" s="272" t="b">
        <v>0</v>
      </c>
      <c r="AD101" s="272" t="b">
        <v>0</v>
      </c>
      <c r="AE101" s="181" t="b">
        <v>0</v>
      </c>
      <c r="AF101" s="181" t="b">
        <v>0</v>
      </c>
      <c r="AG101" s="180" t="b">
        <v>0</v>
      </c>
      <c r="AH101" s="166"/>
      <c r="AI101" s="265">
        <v>6.2271E7</v>
      </c>
      <c r="AJ101" s="266"/>
      <c r="AK101" s="270"/>
      <c r="AL101" s="270"/>
      <c r="AM101" s="270"/>
      <c r="AN101" s="304"/>
      <c r="AO101" s="269"/>
      <c r="AP101" s="269"/>
      <c r="AQ101" s="269"/>
      <c r="AR101" s="163" t="b">
        <v>1</v>
      </c>
      <c r="AS101" s="186" t="b">
        <v>0</v>
      </c>
      <c r="AT101" s="270"/>
      <c r="AU101" s="270"/>
      <c r="AV101" s="270"/>
    </row>
    <row r="102">
      <c r="A102" s="103"/>
      <c r="B102" s="278">
        <v>45839.0</v>
      </c>
      <c r="C102" s="279" t="s">
        <v>113</v>
      </c>
      <c r="D102" s="280" t="s">
        <v>250</v>
      </c>
      <c r="E102" s="320"/>
      <c r="F102" s="279" t="s">
        <v>170</v>
      </c>
      <c r="G102" s="280" t="s">
        <v>170</v>
      </c>
      <c r="H102" s="139"/>
      <c r="I102" s="322" t="s">
        <v>615</v>
      </c>
      <c r="J102" s="322" t="s">
        <v>118</v>
      </c>
      <c r="K102" s="347" t="s">
        <v>273</v>
      </c>
      <c r="L102" s="348" t="s">
        <v>274</v>
      </c>
      <c r="M102" s="285"/>
      <c r="N102" s="286" t="s">
        <v>345</v>
      </c>
      <c r="O102" s="287" t="s">
        <v>182</v>
      </c>
      <c r="P102" s="346">
        <v>1.0</v>
      </c>
      <c r="Q102" s="349" t="s">
        <v>616</v>
      </c>
      <c r="R102" s="147">
        <f t="shared" si="1"/>
        <v>63</v>
      </c>
      <c r="S102" s="148">
        <v>45840.0</v>
      </c>
      <c r="T102" s="239">
        <v>45902.0</v>
      </c>
      <c r="U102" s="137" t="str">
        <f t="shared" si="2"/>
        <v>1 days</v>
      </c>
      <c r="V102" s="290">
        <v>45839.0</v>
      </c>
      <c r="W102" s="147" t="s">
        <v>617</v>
      </c>
      <c r="X102" s="287" t="s">
        <v>131</v>
      </c>
      <c r="Y102" s="291" t="s">
        <v>132</v>
      </c>
      <c r="Z102" s="151"/>
      <c r="AA102" s="292"/>
      <c r="AB102" s="137" t="b">
        <v>1</v>
      </c>
      <c r="AC102" s="147" t="b">
        <v>1</v>
      </c>
      <c r="AD102" s="147" t="b">
        <v>1</v>
      </c>
      <c r="AE102" s="154" t="b">
        <v>1</v>
      </c>
      <c r="AF102" s="154" t="b">
        <v>1</v>
      </c>
      <c r="AG102" s="154" t="b">
        <v>0</v>
      </c>
      <c r="AH102" s="139"/>
      <c r="AI102" s="293">
        <v>4212450.0</v>
      </c>
      <c r="AJ102" s="326">
        <f t="shared" ref="AJ102:AJ105" si="14">AI102</f>
        <v>4212450</v>
      </c>
      <c r="AK102" s="279" t="s">
        <v>134</v>
      </c>
      <c r="AL102" s="279" t="s">
        <v>134</v>
      </c>
      <c r="AM102" s="279" t="s">
        <v>134</v>
      </c>
      <c r="AN102" s="294" t="s">
        <v>135</v>
      </c>
      <c r="AO102" s="296"/>
      <c r="AP102" s="296"/>
      <c r="AQ102" s="296"/>
      <c r="AR102" s="138" t="b">
        <v>0</v>
      </c>
      <c r="AS102" s="149" t="b">
        <v>0</v>
      </c>
      <c r="AT102" s="297"/>
      <c r="AU102" s="297"/>
      <c r="AV102" s="297"/>
    </row>
    <row r="103">
      <c r="A103" s="103"/>
      <c r="B103" s="250">
        <v>45841.0</v>
      </c>
      <c r="C103" s="251" t="s">
        <v>113</v>
      </c>
      <c r="D103" s="252" t="s">
        <v>250</v>
      </c>
      <c r="E103" s="260"/>
      <c r="F103" s="251" t="s">
        <v>170</v>
      </c>
      <c r="G103" s="252" t="s">
        <v>170</v>
      </c>
      <c r="H103" s="166"/>
      <c r="I103" s="254" t="s">
        <v>618</v>
      </c>
      <c r="J103" s="254" t="s">
        <v>118</v>
      </c>
      <c r="K103" s="255" t="s">
        <v>273</v>
      </c>
      <c r="L103" s="256" t="s">
        <v>274</v>
      </c>
      <c r="M103" s="257"/>
      <c r="N103" s="258" t="s">
        <v>182</v>
      </c>
      <c r="O103" s="259" t="s">
        <v>182</v>
      </c>
      <c r="P103" s="253">
        <v>1.0</v>
      </c>
      <c r="Q103" s="261" t="s">
        <v>616</v>
      </c>
      <c r="R103" s="175">
        <f t="shared" si="1"/>
        <v>11</v>
      </c>
      <c r="S103" s="148">
        <v>45842.0</v>
      </c>
      <c r="T103" s="242">
        <v>45852.0</v>
      </c>
      <c r="U103" s="162" t="str">
        <f t="shared" si="2"/>
        <v>1 days</v>
      </c>
      <c r="V103" s="262">
        <v>45841.0</v>
      </c>
      <c r="W103" s="175" t="s">
        <v>619</v>
      </c>
      <c r="X103" s="259" t="s">
        <v>131</v>
      </c>
      <c r="Y103" s="263" t="s">
        <v>132</v>
      </c>
      <c r="Z103" s="172"/>
      <c r="AA103" s="264"/>
      <c r="AB103" s="162" t="b">
        <v>1</v>
      </c>
      <c r="AC103" s="175" t="b">
        <v>1</v>
      </c>
      <c r="AD103" s="175" t="b">
        <v>1</v>
      </c>
      <c r="AE103" s="180" t="b">
        <v>1</v>
      </c>
      <c r="AF103" s="180" t="b">
        <v>1</v>
      </c>
      <c r="AG103" s="180" t="b">
        <v>0</v>
      </c>
      <c r="AH103" s="166"/>
      <c r="AI103" s="265">
        <v>1930000.0</v>
      </c>
      <c r="AJ103" s="266">
        <f t="shared" si="14"/>
        <v>1930000</v>
      </c>
      <c r="AK103" s="251" t="s">
        <v>134</v>
      </c>
      <c r="AL103" s="251" t="s">
        <v>134</v>
      </c>
      <c r="AM103" s="251" t="s">
        <v>134</v>
      </c>
      <c r="AN103" s="267" t="s">
        <v>620</v>
      </c>
      <c r="AO103" s="269"/>
      <c r="AP103" s="269"/>
      <c r="AQ103" s="269"/>
      <c r="AR103" s="163" t="b">
        <v>0</v>
      </c>
      <c r="AS103" s="186" t="b">
        <v>0</v>
      </c>
      <c r="AT103" s="270"/>
      <c r="AU103" s="270"/>
      <c r="AV103" s="270"/>
    </row>
    <row r="104">
      <c r="A104" s="103"/>
      <c r="B104" s="250">
        <v>45833.0</v>
      </c>
      <c r="C104" s="251" t="s">
        <v>113</v>
      </c>
      <c r="D104" s="252" t="s">
        <v>250</v>
      </c>
      <c r="E104" s="410"/>
      <c r="F104" s="251" t="s">
        <v>115</v>
      </c>
      <c r="G104" s="252" t="s">
        <v>441</v>
      </c>
      <c r="H104" s="166"/>
      <c r="I104" s="390" t="s">
        <v>621</v>
      </c>
      <c r="J104" s="254" t="s">
        <v>146</v>
      </c>
      <c r="K104" s="411" t="s">
        <v>622</v>
      </c>
      <c r="L104" s="411" t="s">
        <v>623</v>
      </c>
      <c r="M104" s="391"/>
      <c r="N104" s="258" t="s">
        <v>119</v>
      </c>
      <c r="O104" s="259" t="s">
        <v>209</v>
      </c>
      <c r="P104" s="389">
        <v>160.0</v>
      </c>
      <c r="Q104" s="392" t="s">
        <v>601</v>
      </c>
      <c r="R104" s="147">
        <f t="shared" si="1"/>
        <v>1</v>
      </c>
      <c r="S104" s="148">
        <v>45847.0</v>
      </c>
      <c r="T104" s="242">
        <v>45847.0</v>
      </c>
      <c r="U104" s="162" t="str">
        <f t="shared" si="2"/>
        <v>14 days</v>
      </c>
      <c r="V104" s="262">
        <v>45833.0</v>
      </c>
      <c r="W104" s="147" t="s">
        <v>624</v>
      </c>
      <c r="X104" s="259" t="s">
        <v>131</v>
      </c>
      <c r="Y104" s="263" t="s">
        <v>132</v>
      </c>
      <c r="Z104" s="412"/>
      <c r="AA104" s="264"/>
      <c r="AB104" s="162" t="b">
        <v>1</v>
      </c>
      <c r="AC104" s="175" t="b">
        <v>1</v>
      </c>
      <c r="AD104" s="175" t="b">
        <v>1</v>
      </c>
      <c r="AE104" s="180" t="b">
        <v>1</v>
      </c>
      <c r="AF104" s="180" t="b">
        <v>1</v>
      </c>
      <c r="AG104" s="154" t="b">
        <v>0</v>
      </c>
      <c r="AH104" s="166"/>
      <c r="AI104" s="265">
        <f>750000*160</f>
        <v>120000000</v>
      </c>
      <c r="AJ104" s="266">
        <f t="shared" si="14"/>
        <v>120000000</v>
      </c>
      <c r="AK104" s="251" t="s">
        <v>134</v>
      </c>
      <c r="AL104" s="251" t="s">
        <v>134</v>
      </c>
      <c r="AM104" s="251" t="s">
        <v>134</v>
      </c>
      <c r="AN104" s="267" t="s">
        <v>135</v>
      </c>
      <c r="AO104" s="403"/>
      <c r="AP104" s="403"/>
      <c r="AQ104" s="403"/>
      <c r="AR104" s="163" t="b">
        <v>0</v>
      </c>
      <c r="AS104" s="186" t="b">
        <v>0</v>
      </c>
      <c r="AT104" s="404"/>
      <c r="AU104" s="297"/>
      <c r="AV104" s="297"/>
    </row>
    <row r="105">
      <c r="A105" s="103"/>
      <c r="B105" s="250">
        <v>45833.0</v>
      </c>
      <c r="C105" s="251" t="s">
        <v>113</v>
      </c>
      <c r="D105" s="252" t="s">
        <v>250</v>
      </c>
      <c r="E105" s="260"/>
      <c r="F105" s="251" t="s">
        <v>115</v>
      </c>
      <c r="G105" s="252" t="s">
        <v>441</v>
      </c>
      <c r="H105" s="166"/>
      <c r="I105" s="254" t="s">
        <v>625</v>
      </c>
      <c r="J105" s="254" t="s">
        <v>146</v>
      </c>
      <c r="K105" s="411" t="s">
        <v>622</v>
      </c>
      <c r="L105" s="411" t="s">
        <v>623</v>
      </c>
      <c r="M105" s="257"/>
      <c r="N105" s="258" t="s">
        <v>155</v>
      </c>
      <c r="O105" s="259" t="s">
        <v>182</v>
      </c>
      <c r="P105" s="253">
        <v>960.0</v>
      </c>
      <c r="Q105" s="261"/>
      <c r="R105" s="175">
        <f t="shared" si="1"/>
        <v>1</v>
      </c>
      <c r="S105" s="148">
        <v>45847.0</v>
      </c>
      <c r="T105" s="242">
        <v>45847.0</v>
      </c>
      <c r="U105" s="162" t="str">
        <f t="shared" si="2"/>
        <v>0 days</v>
      </c>
      <c r="V105" s="262">
        <v>45847.0</v>
      </c>
      <c r="W105" s="175" t="s">
        <v>626</v>
      </c>
      <c r="X105" s="259" t="s">
        <v>131</v>
      </c>
      <c r="Y105" s="263" t="s">
        <v>132</v>
      </c>
      <c r="Z105" s="172"/>
      <c r="AA105" s="264"/>
      <c r="AB105" s="162" t="b">
        <v>1</v>
      </c>
      <c r="AC105" s="175" t="b">
        <v>0</v>
      </c>
      <c r="AD105" s="175" t="b">
        <v>0</v>
      </c>
      <c r="AE105" s="180" t="b">
        <v>0</v>
      </c>
      <c r="AF105" s="180" t="b">
        <v>0</v>
      </c>
      <c r="AG105" s="180" t="b">
        <v>0</v>
      </c>
      <c r="AH105" s="166"/>
      <c r="AI105" s="353">
        <f>375000*960</f>
        <v>360000000</v>
      </c>
      <c r="AJ105" s="354">
        <f t="shared" si="14"/>
        <v>360000000</v>
      </c>
      <c r="AK105" s="251" t="s">
        <v>134</v>
      </c>
      <c r="AL105" s="251" t="s">
        <v>134</v>
      </c>
      <c r="AM105" s="251" t="s">
        <v>134</v>
      </c>
      <c r="AN105" s="267" t="s">
        <v>135</v>
      </c>
      <c r="AO105" s="269"/>
      <c r="AP105" s="269"/>
      <c r="AQ105" s="269"/>
      <c r="AR105" s="163" t="b">
        <v>0</v>
      </c>
      <c r="AS105" s="186" t="b">
        <v>0</v>
      </c>
      <c r="AT105" s="270"/>
      <c r="AU105" s="270"/>
      <c r="AV105" s="270"/>
    </row>
    <row r="106">
      <c r="A106" s="103"/>
      <c r="B106" s="413">
        <v>45848.0</v>
      </c>
      <c r="C106" s="414" t="s">
        <v>113</v>
      </c>
      <c r="D106" s="415" t="s">
        <v>114</v>
      </c>
      <c r="E106" s="416"/>
      <c r="F106" s="387" t="s">
        <v>153</v>
      </c>
      <c r="G106" s="388" t="s">
        <v>627</v>
      </c>
      <c r="H106" s="166"/>
      <c r="I106" s="417" t="s">
        <v>628</v>
      </c>
      <c r="J106" s="418" t="s">
        <v>155</v>
      </c>
      <c r="K106" s="419" t="s">
        <v>629</v>
      </c>
      <c r="L106" s="420"/>
      <c r="M106" s="421"/>
      <c r="N106" s="422" t="s">
        <v>119</v>
      </c>
      <c r="O106" s="423" t="s">
        <v>120</v>
      </c>
      <c r="P106" s="424">
        <v>85.0</v>
      </c>
      <c r="Q106" s="425" t="s">
        <v>630</v>
      </c>
      <c r="R106" s="147">
        <f t="shared" si="1"/>
        <v>1</v>
      </c>
      <c r="S106" s="426">
        <v>45848.0</v>
      </c>
      <c r="T106" s="427">
        <v>45848.0</v>
      </c>
      <c r="U106" s="428" t="str">
        <f t="shared" si="2"/>
        <v>3 days</v>
      </c>
      <c r="V106" s="429">
        <v>45845.0</v>
      </c>
      <c r="W106" s="147" t="s">
        <v>631</v>
      </c>
      <c r="X106" s="423" t="s">
        <v>131</v>
      </c>
      <c r="Y106" s="430" t="s">
        <v>132</v>
      </c>
      <c r="Z106" s="431"/>
      <c r="AA106" s="432"/>
      <c r="AB106" s="396" t="b">
        <v>1</v>
      </c>
      <c r="AC106" s="397" t="b">
        <v>1</v>
      </c>
      <c r="AD106" s="397" t="b">
        <v>1</v>
      </c>
      <c r="AE106" s="398" t="b">
        <v>1</v>
      </c>
      <c r="AF106" s="398" t="b">
        <v>1</v>
      </c>
      <c r="AG106" s="154" t="b">
        <v>0</v>
      </c>
      <c r="AH106" s="433"/>
      <c r="AI106" s="434">
        <v>9000000.0</v>
      </c>
      <c r="AJ106" s="435"/>
      <c r="AK106" s="436" t="s">
        <v>134</v>
      </c>
      <c r="AL106" s="436" t="s">
        <v>134</v>
      </c>
      <c r="AM106" s="436" t="s">
        <v>134</v>
      </c>
      <c r="AN106" s="437" t="s">
        <v>135</v>
      </c>
      <c r="AO106" s="438"/>
      <c r="AP106" s="438"/>
      <c r="AQ106" s="438"/>
      <c r="AR106" s="439" t="b">
        <v>1</v>
      </c>
      <c r="AS106" s="440" t="b">
        <v>0</v>
      </c>
      <c r="AT106" s="441"/>
      <c r="AU106" s="297"/>
      <c r="AV106" s="297"/>
    </row>
    <row r="107">
      <c r="A107" s="103"/>
      <c r="B107" s="250">
        <v>45818.0</v>
      </c>
      <c r="C107" s="251" t="s">
        <v>113</v>
      </c>
      <c r="D107" s="252" t="s">
        <v>136</v>
      </c>
      <c r="E107" s="253" t="s">
        <v>632</v>
      </c>
      <c r="F107" s="251" t="s">
        <v>115</v>
      </c>
      <c r="G107" s="252" t="s">
        <v>170</v>
      </c>
      <c r="H107" s="166"/>
      <c r="I107" s="254" t="s">
        <v>633</v>
      </c>
      <c r="J107" s="254" t="s">
        <v>118</v>
      </c>
      <c r="K107" s="255" t="s">
        <v>634</v>
      </c>
      <c r="L107" s="256" t="s">
        <v>635</v>
      </c>
      <c r="M107" s="257"/>
      <c r="N107" s="258" t="s">
        <v>182</v>
      </c>
      <c r="O107" s="259" t="s">
        <v>182</v>
      </c>
      <c r="P107" s="260"/>
      <c r="Q107" s="261" t="s">
        <v>601</v>
      </c>
      <c r="R107" s="175">
        <f t="shared" si="1"/>
        <v>1</v>
      </c>
      <c r="S107" s="409">
        <v>45850.0</v>
      </c>
      <c r="T107" s="242">
        <v>45850.0</v>
      </c>
      <c r="U107" s="162" t="str">
        <f t="shared" si="2"/>
        <v>32 days</v>
      </c>
      <c r="V107" s="262">
        <v>45818.0</v>
      </c>
      <c r="W107" s="175" t="s">
        <v>636</v>
      </c>
      <c r="X107" s="259" t="s">
        <v>29</v>
      </c>
      <c r="Y107" s="263" t="s">
        <v>29</v>
      </c>
      <c r="Z107" s="172"/>
      <c r="AA107" s="264"/>
      <c r="AB107" s="302" t="b">
        <v>0</v>
      </c>
      <c r="AC107" s="272" t="b">
        <v>0</v>
      </c>
      <c r="AD107" s="272" t="b">
        <v>0</v>
      </c>
      <c r="AE107" s="181" t="b">
        <v>0</v>
      </c>
      <c r="AF107" s="181" t="b">
        <v>0</v>
      </c>
      <c r="AG107" s="180" t="b">
        <v>0</v>
      </c>
      <c r="AH107" s="166"/>
      <c r="AI107" s="265">
        <v>6.28815E7</v>
      </c>
      <c r="AJ107" s="266"/>
      <c r="AK107" s="270"/>
      <c r="AL107" s="270"/>
      <c r="AM107" s="270"/>
      <c r="AN107" s="304"/>
      <c r="AO107" s="269"/>
      <c r="AP107" s="269"/>
      <c r="AQ107" s="269"/>
      <c r="AR107" s="163" t="b">
        <v>0</v>
      </c>
      <c r="AS107" s="186" t="b">
        <v>0</v>
      </c>
      <c r="AT107" s="270"/>
      <c r="AU107" s="270"/>
      <c r="AV107" s="270"/>
    </row>
    <row r="108">
      <c r="A108" s="103"/>
      <c r="B108" s="278">
        <v>45842.0</v>
      </c>
      <c r="C108" s="279" t="s">
        <v>113</v>
      </c>
      <c r="D108" s="280" t="s">
        <v>136</v>
      </c>
      <c r="E108" s="320"/>
      <c r="F108" s="279" t="s">
        <v>115</v>
      </c>
      <c r="G108" s="280" t="s">
        <v>162</v>
      </c>
      <c r="H108" s="139"/>
      <c r="I108" s="322" t="s">
        <v>637</v>
      </c>
      <c r="J108" s="322" t="s">
        <v>118</v>
      </c>
      <c r="K108" s="347" t="s">
        <v>638</v>
      </c>
      <c r="L108" s="382" t="s">
        <v>639</v>
      </c>
      <c r="M108" s="285"/>
      <c r="N108" s="286" t="s">
        <v>127</v>
      </c>
      <c r="O108" s="287" t="s">
        <v>128</v>
      </c>
      <c r="P108" s="346"/>
      <c r="Q108" s="349" t="s">
        <v>167</v>
      </c>
      <c r="R108" s="147">
        <f t="shared" si="1"/>
        <v>2</v>
      </c>
      <c r="S108" s="148">
        <v>45850.0</v>
      </c>
      <c r="T108" s="239">
        <v>45851.0</v>
      </c>
      <c r="U108" s="137" t="str">
        <f t="shared" si="2"/>
        <v>8 days</v>
      </c>
      <c r="V108" s="290">
        <v>45842.0</v>
      </c>
      <c r="W108" s="147" t="s">
        <v>640</v>
      </c>
      <c r="X108" s="287" t="s">
        <v>29</v>
      </c>
      <c r="Y108" s="291" t="s">
        <v>29</v>
      </c>
      <c r="Z108" s="151"/>
      <c r="AA108" s="292"/>
      <c r="AB108" s="137" t="b">
        <v>1</v>
      </c>
      <c r="AC108" s="147" t="b">
        <v>0</v>
      </c>
      <c r="AD108" s="153" t="b">
        <v>0</v>
      </c>
      <c r="AE108" s="155" t="b">
        <v>0</v>
      </c>
      <c r="AF108" s="155" t="b">
        <v>0</v>
      </c>
      <c r="AG108" s="154" t="b">
        <v>0</v>
      </c>
      <c r="AH108" s="139"/>
      <c r="AI108" s="293">
        <v>1.6095E7</v>
      </c>
      <c r="AJ108" s="326"/>
      <c r="AK108" s="297"/>
      <c r="AL108" s="297"/>
      <c r="AM108" s="297"/>
      <c r="AN108" s="327"/>
      <c r="AO108" s="296"/>
      <c r="AP108" s="296"/>
      <c r="AQ108" s="296"/>
      <c r="AR108" s="138"/>
      <c r="AS108" s="149"/>
      <c r="AT108" s="383"/>
      <c r="AU108" s="297"/>
      <c r="AV108" s="297"/>
    </row>
    <row r="109">
      <c r="A109" s="103"/>
      <c r="B109" s="250">
        <v>45833.0</v>
      </c>
      <c r="C109" s="251" t="s">
        <v>113</v>
      </c>
      <c r="D109" s="252" t="s">
        <v>250</v>
      </c>
      <c r="E109" s="410"/>
      <c r="F109" s="251" t="s">
        <v>115</v>
      </c>
      <c r="G109" s="252" t="s">
        <v>441</v>
      </c>
      <c r="H109" s="166"/>
      <c r="I109" s="390" t="s">
        <v>641</v>
      </c>
      <c r="J109" s="254" t="s">
        <v>146</v>
      </c>
      <c r="K109" s="411" t="s">
        <v>622</v>
      </c>
      <c r="L109" s="411" t="s">
        <v>623</v>
      </c>
      <c r="M109" s="391"/>
      <c r="N109" s="258" t="s">
        <v>119</v>
      </c>
      <c r="O109" s="259" t="s">
        <v>209</v>
      </c>
      <c r="P109" s="389">
        <v>160.0</v>
      </c>
      <c r="Q109" s="392" t="s">
        <v>601</v>
      </c>
      <c r="R109" s="175">
        <f t="shared" si="1"/>
        <v>1</v>
      </c>
      <c r="S109" s="148">
        <v>45853.0</v>
      </c>
      <c r="T109" s="242">
        <v>45853.0</v>
      </c>
      <c r="U109" s="162" t="str">
        <f t="shared" si="2"/>
        <v>20 days</v>
      </c>
      <c r="V109" s="262">
        <v>45833.0</v>
      </c>
      <c r="W109" s="175" t="s">
        <v>642</v>
      </c>
      <c r="X109" s="259" t="s">
        <v>131</v>
      </c>
      <c r="Y109" s="263" t="s">
        <v>132</v>
      </c>
      <c r="Z109" s="412"/>
      <c r="AA109" s="264"/>
      <c r="AB109" s="162" t="b">
        <v>1</v>
      </c>
      <c r="AC109" s="175" t="b">
        <v>1</v>
      </c>
      <c r="AD109" s="175" t="b">
        <v>1</v>
      </c>
      <c r="AE109" s="180" t="b">
        <v>1</v>
      </c>
      <c r="AF109" s="180" t="b">
        <v>1</v>
      </c>
      <c r="AG109" s="180" t="b">
        <v>0</v>
      </c>
      <c r="AH109" s="166"/>
      <c r="AI109" s="265">
        <f>750000*160</f>
        <v>120000000</v>
      </c>
      <c r="AJ109" s="266">
        <f>AI109</f>
        <v>120000000</v>
      </c>
      <c r="AK109" s="251" t="s">
        <v>134</v>
      </c>
      <c r="AL109" s="251" t="s">
        <v>134</v>
      </c>
      <c r="AM109" s="251" t="s">
        <v>134</v>
      </c>
      <c r="AN109" s="267" t="s">
        <v>135</v>
      </c>
      <c r="AO109" s="403"/>
      <c r="AP109" s="403"/>
      <c r="AQ109" s="403"/>
      <c r="AR109" s="163" t="b">
        <v>0</v>
      </c>
      <c r="AS109" s="186" t="b">
        <v>0</v>
      </c>
      <c r="AT109" s="404"/>
      <c r="AU109" s="270"/>
      <c r="AV109" s="270"/>
    </row>
    <row r="110">
      <c r="A110" s="103"/>
      <c r="B110" s="278">
        <v>45673.0</v>
      </c>
      <c r="C110" s="279" t="s">
        <v>113</v>
      </c>
      <c r="D110" s="280" t="s">
        <v>114</v>
      </c>
      <c r="E110" s="320"/>
      <c r="F110" s="279" t="s">
        <v>153</v>
      </c>
      <c r="G110" s="280" t="s">
        <v>153</v>
      </c>
      <c r="H110" s="139"/>
      <c r="I110" s="322" t="s">
        <v>643</v>
      </c>
      <c r="J110" s="322" t="s">
        <v>644</v>
      </c>
      <c r="K110" s="347" t="s">
        <v>156</v>
      </c>
      <c r="L110" s="348" t="s">
        <v>645</v>
      </c>
      <c r="M110" s="285"/>
      <c r="N110" s="286" t="s">
        <v>261</v>
      </c>
      <c r="O110" s="287" t="s">
        <v>166</v>
      </c>
      <c r="P110" s="346">
        <v>20.0</v>
      </c>
      <c r="Q110" s="349" t="s">
        <v>646</v>
      </c>
      <c r="R110" s="147">
        <f t="shared" si="1"/>
        <v>3</v>
      </c>
      <c r="S110" s="148">
        <v>45855.0</v>
      </c>
      <c r="T110" s="239">
        <v>45857.0</v>
      </c>
      <c r="U110" s="137" t="str">
        <f t="shared" si="2"/>
        <v>182 days</v>
      </c>
      <c r="V110" s="290">
        <v>45673.0</v>
      </c>
      <c r="W110" s="147" t="s">
        <v>647</v>
      </c>
      <c r="X110" s="287" t="s">
        <v>29</v>
      </c>
      <c r="Y110" s="291" t="s">
        <v>29</v>
      </c>
      <c r="Z110" s="151"/>
      <c r="AA110" s="292"/>
      <c r="AB110" s="137" t="b">
        <v>1</v>
      </c>
      <c r="AC110" s="147" t="b">
        <v>1</v>
      </c>
      <c r="AD110" s="153" t="b">
        <v>0</v>
      </c>
      <c r="AE110" s="155" t="b">
        <v>0</v>
      </c>
      <c r="AF110" s="155" t="b">
        <v>0</v>
      </c>
      <c r="AG110" s="154" t="b">
        <v>0</v>
      </c>
      <c r="AH110" s="139"/>
      <c r="AI110" s="293">
        <v>1.3366176E8</v>
      </c>
      <c r="AJ110" s="326"/>
      <c r="AK110" s="297"/>
      <c r="AL110" s="297"/>
      <c r="AM110" s="297"/>
      <c r="AN110" s="327"/>
      <c r="AO110" s="296"/>
      <c r="AP110" s="296"/>
      <c r="AQ110" s="296"/>
      <c r="AR110" s="138" t="b">
        <v>0</v>
      </c>
      <c r="AS110" s="149" t="b">
        <v>0</v>
      </c>
      <c r="AT110" s="297"/>
      <c r="AU110" s="297"/>
      <c r="AV110" s="297"/>
    </row>
    <row r="111">
      <c r="A111" s="103"/>
      <c r="B111" s="250">
        <v>45688.0</v>
      </c>
      <c r="C111" s="251" t="s">
        <v>113</v>
      </c>
      <c r="D111" s="252" t="s">
        <v>250</v>
      </c>
      <c r="E111" s="260"/>
      <c r="F111" s="251" t="s">
        <v>115</v>
      </c>
      <c r="G111" s="252" t="s">
        <v>162</v>
      </c>
      <c r="H111" s="166"/>
      <c r="I111" s="254" t="s">
        <v>648</v>
      </c>
      <c r="J111" s="254" t="s">
        <v>118</v>
      </c>
      <c r="K111" s="255" t="s">
        <v>649</v>
      </c>
      <c r="L111" s="303"/>
      <c r="M111" s="257"/>
      <c r="N111" s="258" t="s">
        <v>119</v>
      </c>
      <c r="O111" s="259" t="s">
        <v>166</v>
      </c>
      <c r="P111" s="253">
        <v>30.0</v>
      </c>
      <c r="Q111" s="261" t="s">
        <v>650</v>
      </c>
      <c r="R111" s="175">
        <f t="shared" si="1"/>
        <v>3</v>
      </c>
      <c r="S111" s="148">
        <v>45855.0</v>
      </c>
      <c r="T111" s="242">
        <v>45857.0</v>
      </c>
      <c r="U111" s="162" t="str">
        <f t="shared" si="2"/>
        <v>167 days</v>
      </c>
      <c r="V111" s="262">
        <v>45688.0</v>
      </c>
      <c r="W111" s="175" t="s">
        <v>651</v>
      </c>
      <c r="X111" s="259" t="s">
        <v>29</v>
      </c>
      <c r="Y111" s="263" t="s">
        <v>29</v>
      </c>
      <c r="Z111" s="172"/>
      <c r="AA111" s="305" t="s">
        <v>189</v>
      </c>
      <c r="AB111" s="302" t="b">
        <v>0</v>
      </c>
      <c r="AC111" s="272" t="b">
        <v>0</v>
      </c>
      <c r="AD111" s="272" t="b">
        <v>0</v>
      </c>
      <c r="AE111" s="181" t="b">
        <v>0</v>
      </c>
      <c r="AF111" s="181" t="b">
        <v>0</v>
      </c>
      <c r="AG111" s="180" t="b">
        <v>0</v>
      </c>
      <c r="AH111" s="166"/>
      <c r="AI111" s="265">
        <v>2.06349E8</v>
      </c>
      <c r="AJ111" s="213"/>
      <c r="AK111" s="270"/>
      <c r="AL111" s="270"/>
      <c r="AM111" s="270"/>
      <c r="AN111" s="304"/>
      <c r="AO111" s="269"/>
      <c r="AP111" s="269"/>
      <c r="AQ111" s="269"/>
      <c r="AR111" s="163" t="b">
        <v>0</v>
      </c>
      <c r="AS111" s="186" t="b">
        <v>0</v>
      </c>
      <c r="AT111" s="270"/>
      <c r="AU111" s="270"/>
      <c r="AV111" s="270"/>
    </row>
    <row r="112">
      <c r="A112" s="103"/>
      <c r="B112" s="250">
        <v>45810.0</v>
      </c>
      <c r="C112" s="387" t="s">
        <v>190</v>
      </c>
      <c r="D112" s="388" t="s">
        <v>652</v>
      </c>
      <c r="E112" s="410"/>
      <c r="F112" s="251" t="s">
        <v>357</v>
      </c>
      <c r="G112" s="252" t="s">
        <v>192</v>
      </c>
      <c r="H112" s="166"/>
      <c r="I112" s="390" t="s">
        <v>653</v>
      </c>
      <c r="J112" s="254" t="s">
        <v>118</v>
      </c>
      <c r="K112" s="255" t="s">
        <v>654</v>
      </c>
      <c r="L112" s="256" t="s">
        <v>655</v>
      </c>
      <c r="M112" s="442"/>
      <c r="N112" s="258" t="s">
        <v>345</v>
      </c>
      <c r="O112" s="259" t="s">
        <v>120</v>
      </c>
      <c r="P112" s="389">
        <v>55.0</v>
      </c>
      <c r="Q112" s="392" t="s">
        <v>656</v>
      </c>
      <c r="R112" s="147">
        <f t="shared" si="1"/>
        <v>3</v>
      </c>
      <c r="S112" s="148">
        <v>45855.0</v>
      </c>
      <c r="T112" s="242">
        <v>45857.0</v>
      </c>
      <c r="U112" s="162" t="str">
        <f t="shared" si="2"/>
        <v>19 days</v>
      </c>
      <c r="V112" s="262">
        <v>45836.0</v>
      </c>
      <c r="W112" s="147" t="s">
        <v>657</v>
      </c>
      <c r="X112" s="259" t="s">
        <v>131</v>
      </c>
      <c r="Y112" s="263" t="s">
        <v>132</v>
      </c>
      <c r="Z112" s="394"/>
      <c r="AA112" s="395"/>
      <c r="AB112" s="396" t="b">
        <v>1</v>
      </c>
      <c r="AC112" s="397" t="b">
        <v>1</v>
      </c>
      <c r="AD112" s="397" t="b">
        <v>1</v>
      </c>
      <c r="AE112" s="398" t="b">
        <v>1</v>
      </c>
      <c r="AF112" s="398" t="b">
        <v>1</v>
      </c>
      <c r="AG112" s="154" t="b">
        <v>0</v>
      </c>
      <c r="AH112" s="399"/>
      <c r="AI112" s="400">
        <v>9.33284E7</v>
      </c>
      <c r="AJ112" s="401">
        <f t="shared" ref="AJ112:AJ114" si="15">AI112</f>
        <v>93328400</v>
      </c>
      <c r="AK112" s="402" t="s">
        <v>134</v>
      </c>
      <c r="AL112" s="402" t="s">
        <v>134</v>
      </c>
      <c r="AM112" s="402" t="s">
        <v>134</v>
      </c>
      <c r="AN112" s="267" t="s">
        <v>135</v>
      </c>
      <c r="AO112" s="443" t="s">
        <v>658</v>
      </c>
      <c r="AP112" s="443" t="s">
        <v>659</v>
      </c>
      <c r="AQ112" s="403"/>
      <c r="AR112" s="163" t="b">
        <v>1</v>
      </c>
      <c r="AS112" s="186" t="b">
        <v>0</v>
      </c>
      <c r="AT112" s="404"/>
      <c r="AU112" s="297"/>
      <c r="AV112" s="297"/>
    </row>
    <row r="113">
      <c r="A113" s="103"/>
      <c r="B113" s="250">
        <v>45834.0</v>
      </c>
      <c r="C113" s="251" t="s">
        <v>113</v>
      </c>
      <c r="D113" s="252" t="s">
        <v>250</v>
      </c>
      <c r="E113" s="260"/>
      <c r="F113" s="251" t="s">
        <v>115</v>
      </c>
      <c r="G113" s="252" t="s">
        <v>116</v>
      </c>
      <c r="H113" s="166"/>
      <c r="I113" s="254" t="s">
        <v>268</v>
      </c>
      <c r="J113" s="254" t="s">
        <v>118</v>
      </c>
      <c r="K113" s="255" t="s">
        <v>269</v>
      </c>
      <c r="L113" s="444" t="s">
        <v>270</v>
      </c>
      <c r="M113" s="257"/>
      <c r="N113" s="258" t="s">
        <v>127</v>
      </c>
      <c r="O113" s="259" t="s">
        <v>128</v>
      </c>
      <c r="P113" s="253"/>
      <c r="Q113" s="261" t="s">
        <v>451</v>
      </c>
      <c r="R113" s="175">
        <f t="shared" si="1"/>
        <v>1</v>
      </c>
      <c r="S113" s="148">
        <v>45855.0</v>
      </c>
      <c r="T113" s="242">
        <v>45855.0</v>
      </c>
      <c r="U113" s="162" t="str">
        <f t="shared" si="2"/>
        <v>21 days</v>
      </c>
      <c r="V113" s="262">
        <v>45834.0</v>
      </c>
      <c r="W113" s="175" t="s">
        <v>660</v>
      </c>
      <c r="X113" s="259" t="s">
        <v>131</v>
      </c>
      <c r="Y113" s="263" t="s">
        <v>132</v>
      </c>
      <c r="Z113" s="172"/>
      <c r="AA113" s="264"/>
      <c r="AB113" s="162" t="b">
        <v>1</v>
      </c>
      <c r="AC113" s="175" t="b">
        <v>0</v>
      </c>
      <c r="AD113" s="272" t="b">
        <v>0</v>
      </c>
      <c r="AE113" s="181" t="b">
        <v>0</v>
      </c>
      <c r="AF113" s="181" t="b">
        <v>0</v>
      </c>
      <c r="AG113" s="180" t="b">
        <v>0</v>
      </c>
      <c r="AH113" s="166"/>
      <c r="AI113" s="265">
        <v>1.4E7</v>
      </c>
      <c r="AJ113" s="266">
        <f t="shared" si="15"/>
        <v>14000000</v>
      </c>
      <c r="AK113" s="251" t="s">
        <v>134</v>
      </c>
      <c r="AL113" s="251" t="s">
        <v>134</v>
      </c>
      <c r="AM113" s="251" t="s">
        <v>134</v>
      </c>
      <c r="AN113" s="267" t="s">
        <v>135</v>
      </c>
      <c r="AO113" s="269"/>
      <c r="AP113" s="269"/>
      <c r="AQ113" s="269"/>
      <c r="AR113" s="163" t="b">
        <v>0</v>
      </c>
      <c r="AS113" s="186" t="b">
        <v>0</v>
      </c>
      <c r="AT113" s="404"/>
      <c r="AU113" s="270"/>
      <c r="AV113" s="270"/>
    </row>
    <row r="114">
      <c r="A114" s="103"/>
      <c r="B114" s="278">
        <v>45798.0</v>
      </c>
      <c r="C114" s="279" t="s">
        <v>113</v>
      </c>
      <c r="D114" s="445" t="s">
        <v>136</v>
      </c>
      <c r="E114" s="446"/>
      <c r="F114" s="279" t="s">
        <v>115</v>
      </c>
      <c r="G114" s="445" t="s">
        <v>116</v>
      </c>
      <c r="H114" s="139"/>
      <c r="I114" s="447" t="s">
        <v>661</v>
      </c>
      <c r="J114" s="447" t="s">
        <v>118</v>
      </c>
      <c r="K114" s="448" t="s">
        <v>662</v>
      </c>
      <c r="L114" s="449" t="s">
        <v>663</v>
      </c>
      <c r="M114" s="450"/>
      <c r="N114" s="451" t="s">
        <v>182</v>
      </c>
      <c r="O114" s="452" t="s">
        <v>182</v>
      </c>
      <c r="P114" s="446"/>
      <c r="Q114" s="349" t="s">
        <v>415</v>
      </c>
      <c r="R114" s="147">
        <f t="shared" si="1"/>
        <v>1</v>
      </c>
      <c r="S114" s="148">
        <v>45856.0</v>
      </c>
      <c r="T114" s="149">
        <v>45856.0</v>
      </c>
      <c r="U114" s="137" t="str">
        <f t="shared" si="2"/>
        <v>58 days</v>
      </c>
      <c r="V114" s="290">
        <v>45798.0</v>
      </c>
      <c r="W114" s="147" t="s">
        <v>664</v>
      </c>
      <c r="X114" s="287" t="s">
        <v>131</v>
      </c>
      <c r="Y114" s="291" t="s">
        <v>132</v>
      </c>
      <c r="Z114" s="453"/>
      <c r="AA114" s="454"/>
      <c r="AB114" s="455" t="b">
        <v>0</v>
      </c>
      <c r="AC114" s="456" t="b">
        <v>0</v>
      </c>
      <c r="AD114" s="456" t="b">
        <v>0</v>
      </c>
      <c r="AE114" s="457" t="b">
        <v>0</v>
      </c>
      <c r="AF114" s="457" t="b">
        <v>0</v>
      </c>
      <c r="AG114" s="154" t="b">
        <v>0</v>
      </c>
      <c r="AH114" s="139"/>
      <c r="AI114" s="458">
        <v>4662000.0</v>
      </c>
      <c r="AJ114" s="326">
        <f t="shared" si="15"/>
        <v>4662000</v>
      </c>
      <c r="AK114" s="459" t="s">
        <v>134</v>
      </c>
      <c r="AL114" s="459" t="s">
        <v>134</v>
      </c>
      <c r="AM114" s="279" t="s">
        <v>134</v>
      </c>
      <c r="AN114" s="460" t="s">
        <v>135</v>
      </c>
      <c r="AO114" s="296"/>
      <c r="AP114" s="296"/>
      <c r="AQ114" s="296"/>
      <c r="AR114" s="138" t="b">
        <v>0</v>
      </c>
      <c r="AS114" s="149" t="b">
        <v>0</v>
      </c>
      <c r="AT114" s="297"/>
      <c r="AU114" s="297"/>
      <c r="AV114" s="297"/>
    </row>
    <row r="115">
      <c r="A115" s="103"/>
      <c r="B115" s="250">
        <v>45800.0</v>
      </c>
      <c r="C115" s="251" t="s">
        <v>113</v>
      </c>
      <c r="D115" s="251" t="s">
        <v>114</v>
      </c>
      <c r="E115" s="270"/>
      <c r="F115" s="251" t="s">
        <v>162</v>
      </c>
      <c r="G115" s="251" t="s">
        <v>162</v>
      </c>
      <c r="H115" s="166"/>
      <c r="I115" s="261" t="s">
        <v>665</v>
      </c>
      <c r="J115" s="261" t="s">
        <v>118</v>
      </c>
      <c r="K115" s="461" t="s">
        <v>666</v>
      </c>
      <c r="L115" s="462" t="s">
        <v>667</v>
      </c>
      <c r="M115" s="463"/>
      <c r="N115" s="261" t="s">
        <v>119</v>
      </c>
      <c r="O115" s="261" t="s">
        <v>166</v>
      </c>
      <c r="P115" s="251">
        <v>23.0</v>
      </c>
      <c r="Q115" s="261" t="s">
        <v>668</v>
      </c>
      <c r="R115" s="175">
        <f t="shared" si="1"/>
        <v>2</v>
      </c>
      <c r="S115" s="464">
        <v>45856.0</v>
      </c>
      <c r="T115" s="465">
        <v>45857.0</v>
      </c>
      <c r="U115" s="162" t="str">
        <f t="shared" si="2"/>
        <v>52 days</v>
      </c>
      <c r="V115" s="466">
        <v>45804.0</v>
      </c>
      <c r="W115" s="175" t="s">
        <v>669</v>
      </c>
      <c r="X115" s="259" t="s">
        <v>29</v>
      </c>
      <c r="Y115" s="263" t="s">
        <v>29</v>
      </c>
      <c r="Z115" s="174"/>
      <c r="AA115" s="467"/>
      <c r="AB115" s="161" t="b">
        <v>1</v>
      </c>
      <c r="AC115" s="161" t="b">
        <v>1</v>
      </c>
      <c r="AD115" s="468" t="b">
        <v>0</v>
      </c>
      <c r="AE115" s="468" t="b">
        <v>0</v>
      </c>
      <c r="AF115" s="468" t="b">
        <v>0</v>
      </c>
      <c r="AG115" s="180" t="b">
        <v>0</v>
      </c>
      <c r="AH115" s="166"/>
      <c r="AI115" s="266">
        <v>3.4548195E7</v>
      </c>
      <c r="AJ115" s="266"/>
      <c r="AK115" s="270"/>
      <c r="AL115" s="270"/>
      <c r="AM115" s="270"/>
      <c r="AN115" s="270"/>
      <c r="AO115" s="269"/>
      <c r="AP115" s="269"/>
      <c r="AQ115" s="269"/>
      <c r="AR115" s="163" t="b">
        <v>0</v>
      </c>
      <c r="AS115" s="186" t="b">
        <v>0</v>
      </c>
      <c r="AT115" s="270"/>
      <c r="AU115" s="270"/>
      <c r="AV115" s="270"/>
    </row>
    <row r="116">
      <c r="A116" s="103"/>
      <c r="B116" s="278">
        <v>45859.0</v>
      </c>
      <c r="C116" s="279" t="s">
        <v>113</v>
      </c>
      <c r="D116" s="279" t="s">
        <v>250</v>
      </c>
      <c r="E116" s="279"/>
      <c r="F116" s="279" t="s">
        <v>115</v>
      </c>
      <c r="G116" s="279" t="s">
        <v>170</v>
      </c>
      <c r="H116" s="139"/>
      <c r="I116" s="349" t="s">
        <v>670</v>
      </c>
      <c r="J116" s="349" t="s">
        <v>118</v>
      </c>
      <c r="K116" s="469" t="s">
        <v>671</v>
      </c>
      <c r="L116" s="406" t="s">
        <v>672</v>
      </c>
      <c r="M116" s="470"/>
      <c r="N116" s="349" t="s">
        <v>345</v>
      </c>
      <c r="O116" s="349" t="s">
        <v>238</v>
      </c>
      <c r="P116" s="279">
        <v>1.0</v>
      </c>
      <c r="Q116" s="349" t="s">
        <v>673</v>
      </c>
      <c r="R116" s="471">
        <f t="shared" si="1"/>
        <v>1</v>
      </c>
      <c r="S116" s="464">
        <v>45861.0</v>
      </c>
      <c r="T116" s="472">
        <v>45861.0</v>
      </c>
      <c r="U116" s="137" t="str">
        <f t="shared" si="2"/>
        <v>2 days</v>
      </c>
      <c r="V116" s="473">
        <v>45859.0</v>
      </c>
      <c r="W116" s="471" t="s">
        <v>674</v>
      </c>
      <c r="X116" s="349" t="s">
        <v>131</v>
      </c>
      <c r="Y116" s="291" t="s">
        <v>132</v>
      </c>
      <c r="Z116" s="192"/>
      <c r="AA116" s="474"/>
      <c r="AB116" s="136" t="b">
        <v>1</v>
      </c>
      <c r="AC116" s="136" t="b">
        <v>1</v>
      </c>
      <c r="AD116" s="136" t="b">
        <v>1</v>
      </c>
      <c r="AE116" s="136" t="b">
        <v>1</v>
      </c>
      <c r="AF116" s="136" t="b">
        <v>1</v>
      </c>
      <c r="AG116" s="475" t="b">
        <v>0</v>
      </c>
      <c r="AH116" s="139"/>
      <c r="AI116" s="326" t="s">
        <v>675</v>
      </c>
      <c r="AJ116" s="326" t="str">
        <f>AI116</f>
        <v>Rp5.333.761</v>
      </c>
      <c r="AK116" s="279" t="s">
        <v>134</v>
      </c>
      <c r="AL116" s="279" t="s">
        <v>134</v>
      </c>
      <c r="AM116" s="279" t="s">
        <v>134</v>
      </c>
      <c r="AN116" s="279" t="s">
        <v>135</v>
      </c>
      <c r="AO116" s="296"/>
      <c r="AP116" s="296"/>
      <c r="AQ116" s="296"/>
      <c r="AR116" s="138" t="b">
        <v>0</v>
      </c>
      <c r="AS116" s="149" t="b">
        <v>0</v>
      </c>
      <c r="AT116" s="297"/>
      <c r="AU116" s="476"/>
      <c r="AV116" s="476"/>
    </row>
    <row r="117">
      <c r="A117" s="404"/>
      <c r="B117" s="477">
        <v>45838.0</v>
      </c>
      <c r="C117" s="478" t="s">
        <v>113</v>
      </c>
      <c r="D117" s="478" t="s">
        <v>250</v>
      </c>
      <c r="E117" s="476"/>
      <c r="F117" s="478" t="s">
        <v>170</v>
      </c>
      <c r="G117" s="478" t="s">
        <v>170</v>
      </c>
      <c r="H117" s="479"/>
      <c r="I117" s="480" t="s">
        <v>676</v>
      </c>
      <c r="J117" s="480" t="s">
        <v>118</v>
      </c>
      <c r="K117" s="481" t="s">
        <v>677</v>
      </c>
      <c r="L117" s="482" t="s">
        <v>678</v>
      </c>
      <c r="M117" s="483"/>
      <c r="N117" s="480" t="s">
        <v>182</v>
      </c>
      <c r="O117" s="480" t="s">
        <v>182</v>
      </c>
      <c r="P117" s="478">
        <v>1.0</v>
      </c>
      <c r="Q117" s="480" t="s">
        <v>616</v>
      </c>
      <c r="R117" s="471">
        <f t="shared" si="1"/>
        <v>22</v>
      </c>
      <c r="S117" s="464">
        <v>45863.0</v>
      </c>
      <c r="T117" s="484">
        <v>45884.0</v>
      </c>
      <c r="U117" s="485" t="str">
        <f t="shared" si="2"/>
        <v>25 days</v>
      </c>
      <c r="V117" s="486">
        <v>45838.0</v>
      </c>
      <c r="W117" s="471" t="s">
        <v>679</v>
      </c>
      <c r="X117" s="480" t="s">
        <v>131</v>
      </c>
      <c r="Y117" s="487" t="s">
        <v>132</v>
      </c>
      <c r="Z117" s="488"/>
      <c r="AA117" s="489"/>
      <c r="AB117" s="490" t="b">
        <v>1</v>
      </c>
      <c r="AC117" s="490" t="b">
        <v>1</v>
      </c>
      <c r="AD117" s="490" t="b">
        <v>1</v>
      </c>
      <c r="AE117" s="490" t="b">
        <v>1</v>
      </c>
      <c r="AF117" s="490" t="b">
        <v>1</v>
      </c>
      <c r="AG117" s="475" t="b">
        <v>0</v>
      </c>
      <c r="AH117" s="479"/>
      <c r="AI117" s="491">
        <v>3.267E7</v>
      </c>
      <c r="AJ117" s="491"/>
      <c r="AK117" s="478" t="s">
        <v>134</v>
      </c>
      <c r="AL117" s="478" t="s">
        <v>134</v>
      </c>
      <c r="AM117" s="478" t="s">
        <v>134</v>
      </c>
      <c r="AN117" s="478" t="s">
        <v>135</v>
      </c>
      <c r="AO117" s="492"/>
      <c r="AP117" s="492"/>
      <c r="AQ117" s="492"/>
      <c r="AR117" s="493" t="b">
        <v>0</v>
      </c>
      <c r="AS117" s="494" t="b">
        <v>0</v>
      </c>
      <c r="AT117" s="476"/>
      <c r="AU117" s="270"/>
      <c r="AV117" s="270"/>
    </row>
    <row r="118">
      <c r="A118" s="103"/>
      <c r="B118" s="477">
        <v>45838.0</v>
      </c>
      <c r="C118" s="478" t="s">
        <v>113</v>
      </c>
      <c r="D118" s="478" t="s">
        <v>652</v>
      </c>
      <c r="E118" s="103"/>
      <c r="F118" s="478" t="s">
        <v>287</v>
      </c>
      <c r="G118" s="478" t="s">
        <v>287</v>
      </c>
      <c r="H118" s="479"/>
      <c r="I118" s="495" t="s">
        <v>680</v>
      </c>
      <c r="J118" s="480" t="s">
        <v>118</v>
      </c>
      <c r="K118" s="481" t="s">
        <v>681</v>
      </c>
      <c r="L118" s="496"/>
      <c r="M118" s="497"/>
      <c r="N118" s="480" t="s">
        <v>119</v>
      </c>
      <c r="O118" s="480" t="s">
        <v>120</v>
      </c>
      <c r="P118" s="106">
        <v>20.0</v>
      </c>
      <c r="Q118" s="495" t="s">
        <v>682</v>
      </c>
      <c r="R118" s="471">
        <f t="shared" si="1"/>
        <v>1</v>
      </c>
      <c r="S118" s="464">
        <v>45864.0</v>
      </c>
      <c r="T118" s="484">
        <v>45864.0</v>
      </c>
      <c r="U118" s="485" t="str">
        <f t="shared" si="2"/>
        <v>26 days</v>
      </c>
      <c r="V118" s="486">
        <v>45838.0</v>
      </c>
      <c r="W118" s="471" t="s">
        <v>683</v>
      </c>
      <c r="X118" s="480" t="s">
        <v>29</v>
      </c>
      <c r="Y118" s="487" t="s">
        <v>29</v>
      </c>
      <c r="Z118" s="104"/>
      <c r="AA118" s="489"/>
      <c r="AB118" s="490" t="b">
        <v>0</v>
      </c>
      <c r="AC118" s="490" t="b">
        <v>0</v>
      </c>
      <c r="AD118" s="490" t="b">
        <v>0</v>
      </c>
      <c r="AE118" s="490" t="b">
        <v>0</v>
      </c>
      <c r="AF118" s="490" t="b">
        <v>0</v>
      </c>
      <c r="AG118" s="475" t="b">
        <v>0</v>
      </c>
      <c r="AH118" s="498"/>
      <c r="AI118" s="491">
        <v>1.443E7</v>
      </c>
      <c r="AJ118" s="491"/>
      <c r="AK118" s="476"/>
      <c r="AL118" s="476"/>
      <c r="AM118" s="476"/>
      <c r="AN118" s="476"/>
      <c r="AO118" s="499"/>
      <c r="AP118" s="499"/>
      <c r="AQ118" s="499"/>
      <c r="AR118" s="493" t="b">
        <v>0</v>
      </c>
      <c r="AS118" s="494" t="b">
        <v>0</v>
      </c>
      <c r="AT118" s="103"/>
      <c r="AU118" s="476"/>
      <c r="AV118" s="476"/>
    </row>
    <row r="119">
      <c r="A119" s="404"/>
      <c r="B119" s="250">
        <v>45838.0</v>
      </c>
      <c r="C119" s="251" t="s">
        <v>113</v>
      </c>
      <c r="D119" s="251" t="s">
        <v>114</v>
      </c>
      <c r="E119" s="251"/>
      <c r="F119" s="251" t="s">
        <v>115</v>
      </c>
      <c r="G119" s="251" t="s">
        <v>170</v>
      </c>
      <c r="H119" s="166"/>
      <c r="I119" s="261" t="s">
        <v>555</v>
      </c>
      <c r="J119" s="261" t="s">
        <v>118</v>
      </c>
      <c r="K119" s="461" t="s">
        <v>684</v>
      </c>
      <c r="L119" s="461"/>
      <c r="M119" s="463"/>
      <c r="N119" s="261" t="s">
        <v>119</v>
      </c>
      <c r="O119" s="261" t="s">
        <v>685</v>
      </c>
      <c r="P119" s="251">
        <v>80.0</v>
      </c>
      <c r="Q119" s="261" t="s">
        <v>415</v>
      </c>
      <c r="R119" s="471">
        <f t="shared" si="1"/>
        <v>2</v>
      </c>
      <c r="S119" s="500">
        <v>45870.0</v>
      </c>
      <c r="T119" s="465">
        <v>45871.0</v>
      </c>
      <c r="U119" s="162" t="str">
        <f t="shared" si="2"/>
        <v>32 days</v>
      </c>
      <c r="V119" s="466">
        <v>45838.0</v>
      </c>
      <c r="W119" s="471" t="s">
        <v>686</v>
      </c>
      <c r="X119" s="261" t="s">
        <v>131</v>
      </c>
      <c r="Y119" s="263" t="s">
        <v>132</v>
      </c>
      <c r="Z119" s="174"/>
      <c r="AA119" s="467"/>
      <c r="AB119" s="161" t="b">
        <v>1</v>
      </c>
      <c r="AC119" s="161" t="b">
        <v>1</v>
      </c>
      <c r="AD119" s="161" t="b">
        <v>1</v>
      </c>
      <c r="AE119" s="161" t="b">
        <v>1</v>
      </c>
      <c r="AF119" s="468" t="b">
        <v>0</v>
      </c>
      <c r="AG119" s="475" t="b">
        <v>0</v>
      </c>
      <c r="AH119" s="501"/>
      <c r="AI119" s="266">
        <v>1.2851025E8</v>
      </c>
      <c r="AJ119" s="266"/>
      <c r="AK119" s="251" t="s">
        <v>134</v>
      </c>
      <c r="AL119" s="251" t="s">
        <v>134</v>
      </c>
      <c r="AM119" s="251" t="s">
        <v>134</v>
      </c>
      <c r="AN119" s="251" t="s">
        <v>135</v>
      </c>
      <c r="AO119" s="269"/>
      <c r="AP119" s="269"/>
      <c r="AQ119" s="269"/>
      <c r="AR119" s="163" t="b">
        <v>0</v>
      </c>
      <c r="AS119" s="186" t="b">
        <v>0</v>
      </c>
      <c r="AT119" s="270"/>
      <c r="AU119" s="270"/>
      <c r="AV119" s="270"/>
    </row>
    <row r="120">
      <c r="A120" s="103"/>
      <c r="B120" s="477">
        <v>45852.0</v>
      </c>
      <c r="C120" s="478" t="s">
        <v>113</v>
      </c>
      <c r="D120" s="478" t="s">
        <v>136</v>
      </c>
      <c r="E120" s="103"/>
      <c r="F120" s="478" t="s">
        <v>115</v>
      </c>
      <c r="G120" s="478" t="s">
        <v>162</v>
      </c>
      <c r="H120" s="479"/>
      <c r="I120" s="495" t="s">
        <v>687</v>
      </c>
      <c r="J120" s="480" t="s">
        <v>118</v>
      </c>
      <c r="K120" s="481" t="s">
        <v>688</v>
      </c>
      <c r="L120" s="496"/>
      <c r="M120" s="497"/>
      <c r="N120" s="480" t="s">
        <v>119</v>
      </c>
      <c r="O120" s="480" t="s">
        <v>120</v>
      </c>
      <c r="P120" s="106">
        <v>100.0</v>
      </c>
      <c r="Q120" s="495" t="s">
        <v>415</v>
      </c>
      <c r="R120" s="471">
        <f t="shared" si="1"/>
        <v>1</v>
      </c>
      <c r="S120" s="502">
        <v>45870.0</v>
      </c>
      <c r="T120" s="503">
        <v>45870.0</v>
      </c>
      <c r="U120" s="485" t="str">
        <f t="shared" si="2"/>
        <v>18 days</v>
      </c>
      <c r="V120" s="504">
        <v>45852.0</v>
      </c>
      <c r="W120" s="471" t="s">
        <v>689</v>
      </c>
      <c r="X120" s="480" t="s">
        <v>29</v>
      </c>
      <c r="Y120" s="487" t="s">
        <v>29</v>
      </c>
      <c r="Z120" s="104"/>
      <c r="AA120" s="489"/>
      <c r="AB120" s="490" t="b">
        <v>1</v>
      </c>
      <c r="AC120" s="490" t="b">
        <v>1</v>
      </c>
      <c r="AD120" s="490" t="b">
        <v>0</v>
      </c>
      <c r="AE120" s="490" t="b">
        <v>0</v>
      </c>
      <c r="AF120" s="490" t="b">
        <v>0</v>
      </c>
      <c r="AG120" s="475" t="b">
        <v>0</v>
      </c>
      <c r="AH120" s="127"/>
      <c r="AI120" s="505">
        <v>4.6065E7</v>
      </c>
      <c r="AJ120" s="505"/>
      <c r="AK120" s="476"/>
      <c r="AL120" s="476"/>
      <c r="AM120" s="476"/>
      <c r="AN120" s="476"/>
      <c r="AO120" s="499"/>
      <c r="AP120" s="499"/>
      <c r="AQ120" s="499"/>
      <c r="AR120" s="493" t="b">
        <v>0</v>
      </c>
      <c r="AS120" s="494" t="b">
        <v>0</v>
      </c>
      <c r="AT120" s="103"/>
      <c r="AU120" s="476"/>
      <c r="AV120" s="476"/>
    </row>
    <row r="121">
      <c r="A121" s="404"/>
      <c r="B121" s="477">
        <v>45864.0</v>
      </c>
      <c r="C121" s="506" t="s">
        <v>113</v>
      </c>
      <c r="D121" s="506" t="s">
        <v>136</v>
      </c>
      <c r="E121" s="106" t="s">
        <v>690</v>
      </c>
      <c r="F121" s="478" t="s">
        <v>357</v>
      </c>
      <c r="G121" s="478" t="s">
        <v>192</v>
      </c>
      <c r="H121" s="479"/>
      <c r="I121" s="495" t="s">
        <v>555</v>
      </c>
      <c r="J121" s="480" t="s">
        <v>118</v>
      </c>
      <c r="K121" s="481" t="s">
        <v>691</v>
      </c>
      <c r="L121" s="482" t="s">
        <v>692</v>
      </c>
      <c r="M121" s="507"/>
      <c r="N121" s="480" t="s">
        <v>182</v>
      </c>
      <c r="O121" s="480" t="s">
        <v>182</v>
      </c>
      <c r="P121" s="106">
        <v>50.0</v>
      </c>
      <c r="Q121" s="495" t="s">
        <v>321</v>
      </c>
      <c r="R121" s="471">
        <f t="shared" si="1"/>
        <v>2</v>
      </c>
      <c r="S121" s="464">
        <v>45870.0</v>
      </c>
      <c r="T121" s="484">
        <v>45871.0</v>
      </c>
      <c r="U121" s="485" t="str">
        <f t="shared" si="2"/>
        <v>21 days</v>
      </c>
      <c r="V121" s="486">
        <v>45849.0</v>
      </c>
      <c r="W121" s="471" t="s">
        <v>693</v>
      </c>
      <c r="X121" s="480" t="s">
        <v>131</v>
      </c>
      <c r="Y121" s="487" t="s">
        <v>132</v>
      </c>
      <c r="Z121" s="508"/>
      <c r="AA121" s="509"/>
      <c r="AB121" s="510" t="b">
        <v>1</v>
      </c>
      <c r="AC121" s="510" t="b">
        <v>1</v>
      </c>
      <c r="AD121" s="510" t="b">
        <v>1</v>
      </c>
      <c r="AE121" s="510" t="b">
        <v>1</v>
      </c>
      <c r="AF121" s="510" t="b">
        <v>1</v>
      </c>
      <c r="AG121" s="475" t="b">
        <v>0</v>
      </c>
      <c r="AH121" s="511"/>
      <c r="AI121" s="505">
        <v>8.785098E7</v>
      </c>
      <c r="AJ121" s="505"/>
      <c r="AK121" s="512" t="s">
        <v>134</v>
      </c>
      <c r="AL121" s="512" t="s">
        <v>134</v>
      </c>
      <c r="AM121" s="512" t="s">
        <v>134</v>
      </c>
      <c r="AN121" s="478" t="s">
        <v>135</v>
      </c>
      <c r="AO121" s="499"/>
      <c r="AP121" s="499"/>
      <c r="AQ121" s="499"/>
      <c r="AR121" s="493" t="b">
        <v>1</v>
      </c>
      <c r="AS121" s="494" t="b">
        <v>0</v>
      </c>
      <c r="AT121" s="103"/>
      <c r="AU121" s="270"/>
      <c r="AV121" s="270"/>
    </row>
    <row r="122">
      <c r="A122" s="103"/>
      <c r="B122" s="250">
        <v>45861.0</v>
      </c>
      <c r="C122" s="251" t="s">
        <v>113</v>
      </c>
      <c r="D122" s="350" t="s">
        <v>114</v>
      </c>
      <c r="E122" s="270"/>
      <c r="F122" s="251" t="s">
        <v>170</v>
      </c>
      <c r="G122" s="251" t="s">
        <v>170</v>
      </c>
      <c r="H122" s="166"/>
      <c r="I122" s="261" t="s">
        <v>694</v>
      </c>
      <c r="J122" s="261" t="s">
        <v>118</v>
      </c>
      <c r="K122" s="461" t="s">
        <v>695</v>
      </c>
      <c r="L122" s="513" t="s">
        <v>696</v>
      </c>
      <c r="M122" s="463"/>
      <c r="N122" s="514" t="s">
        <v>119</v>
      </c>
      <c r="O122" s="514" t="s">
        <v>209</v>
      </c>
      <c r="P122" s="350">
        <v>36.0</v>
      </c>
      <c r="Q122" s="514" t="s">
        <v>697</v>
      </c>
      <c r="R122" s="471">
        <f t="shared" si="1"/>
        <v>1</v>
      </c>
      <c r="S122" s="515">
        <v>45871.0</v>
      </c>
      <c r="T122" s="516">
        <v>45871.0</v>
      </c>
      <c r="U122" s="162" t="str">
        <f t="shared" si="2"/>
        <v>10 days</v>
      </c>
      <c r="V122" s="517">
        <v>45861.0</v>
      </c>
      <c r="W122" s="471" t="s">
        <v>698</v>
      </c>
      <c r="X122" s="261" t="s">
        <v>29</v>
      </c>
      <c r="Y122" s="251" t="s">
        <v>29</v>
      </c>
      <c r="Z122" s="174"/>
      <c r="AA122" s="518" t="s">
        <v>189</v>
      </c>
      <c r="AB122" s="161" t="b">
        <v>0</v>
      </c>
      <c r="AC122" s="161" t="b">
        <v>0</v>
      </c>
      <c r="AD122" s="161" t="b">
        <v>0</v>
      </c>
      <c r="AE122" s="161" t="b">
        <v>0</v>
      </c>
      <c r="AF122" s="161" t="b">
        <v>0</v>
      </c>
      <c r="AG122" s="475" t="b">
        <v>0</v>
      </c>
      <c r="AH122" s="501"/>
      <c r="AI122" s="519">
        <v>4.118433E7</v>
      </c>
      <c r="AJ122" s="519"/>
      <c r="AK122" s="270"/>
      <c r="AL122" s="270"/>
      <c r="AM122" s="270"/>
      <c r="AN122" s="270"/>
      <c r="AO122" s="269"/>
      <c r="AP122" s="269"/>
      <c r="AQ122" s="269"/>
      <c r="AR122" s="161" t="b">
        <v>0</v>
      </c>
      <c r="AS122" s="465" t="b">
        <v>0</v>
      </c>
      <c r="AT122" s="270"/>
      <c r="AU122" s="103"/>
      <c r="AV122" s="103"/>
    </row>
    <row r="123">
      <c r="A123" s="404"/>
      <c r="B123" s="250">
        <v>45860.0</v>
      </c>
      <c r="C123" s="251" t="s">
        <v>113</v>
      </c>
      <c r="D123" s="251" t="s">
        <v>136</v>
      </c>
      <c r="E123" s="404"/>
      <c r="F123" s="251" t="s">
        <v>115</v>
      </c>
      <c r="G123" s="251" t="s">
        <v>162</v>
      </c>
      <c r="H123" s="166"/>
      <c r="I123" s="392" t="s">
        <v>699</v>
      </c>
      <c r="J123" s="261" t="s">
        <v>118</v>
      </c>
      <c r="K123" s="461" t="s">
        <v>671</v>
      </c>
      <c r="L123" s="520"/>
      <c r="M123" s="521"/>
      <c r="N123" s="261" t="s">
        <v>119</v>
      </c>
      <c r="O123" s="261" t="s">
        <v>120</v>
      </c>
      <c r="P123" s="522">
        <v>19.0</v>
      </c>
      <c r="Q123" s="392" t="s">
        <v>167</v>
      </c>
      <c r="R123" s="471">
        <f t="shared" si="1"/>
        <v>1</v>
      </c>
      <c r="S123" s="502">
        <v>45872.0</v>
      </c>
      <c r="T123" s="523">
        <v>45872.0</v>
      </c>
      <c r="U123" s="162" t="str">
        <f t="shared" si="2"/>
        <v>12 days</v>
      </c>
      <c r="V123" s="524">
        <v>45860.0</v>
      </c>
      <c r="W123" s="471" t="s">
        <v>700</v>
      </c>
      <c r="X123" s="261" t="s">
        <v>29</v>
      </c>
      <c r="Y123" s="251" t="s">
        <v>29</v>
      </c>
      <c r="Z123" s="525"/>
      <c r="AA123" s="467"/>
      <c r="AB123" s="161" t="b">
        <v>1</v>
      </c>
      <c r="AC123" s="161" t="b">
        <v>1</v>
      </c>
      <c r="AD123" s="161" t="b">
        <v>0</v>
      </c>
      <c r="AE123" s="161" t="b">
        <v>0</v>
      </c>
      <c r="AF123" s="161" t="b">
        <v>0</v>
      </c>
      <c r="AG123" s="475" t="b">
        <v>0</v>
      </c>
      <c r="AH123" s="526"/>
      <c r="AI123" s="401">
        <v>2.875455E7</v>
      </c>
      <c r="AJ123" s="401"/>
      <c r="AK123" s="270"/>
      <c r="AL123" s="270"/>
      <c r="AM123" s="270"/>
      <c r="AN123" s="270"/>
      <c r="AO123" s="403"/>
      <c r="AP123" s="403"/>
      <c r="AQ123" s="403"/>
      <c r="AR123" s="161" t="b">
        <v>0</v>
      </c>
      <c r="AS123" s="465" t="b">
        <v>0</v>
      </c>
      <c r="AT123" s="404"/>
      <c r="AU123" s="404"/>
      <c r="AV123" s="404"/>
    </row>
    <row r="124">
      <c r="A124" s="103"/>
      <c r="B124" s="250">
        <v>45846.0</v>
      </c>
      <c r="C124" s="251" t="s">
        <v>190</v>
      </c>
      <c r="D124" s="251" t="s">
        <v>136</v>
      </c>
      <c r="E124" s="404"/>
      <c r="F124" s="251" t="s">
        <v>115</v>
      </c>
      <c r="G124" s="251" t="s">
        <v>116</v>
      </c>
      <c r="H124" s="166"/>
      <c r="I124" s="392" t="s">
        <v>701</v>
      </c>
      <c r="J124" s="261" t="s">
        <v>118</v>
      </c>
      <c r="K124" s="461" t="s">
        <v>370</v>
      </c>
      <c r="L124" s="520"/>
      <c r="M124" s="521"/>
      <c r="N124" s="261" t="s">
        <v>119</v>
      </c>
      <c r="O124" s="261" t="s">
        <v>196</v>
      </c>
      <c r="P124" s="522">
        <v>45.0</v>
      </c>
      <c r="Q124" s="392" t="s">
        <v>702</v>
      </c>
      <c r="R124" s="471">
        <f t="shared" si="1"/>
        <v>1</v>
      </c>
      <c r="S124" s="464">
        <v>45875.0</v>
      </c>
      <c r="T124" s="465">
        <v>45875.0</v>
      </c>
      <c r="U124" s="162" t="str">
        <f t="shared" si="2"/>
        <v>29 days</v>
      </c>
      <c r="V124" s="466">
        <v>45846.0</v>
      </c>
      <c r="W124" s="471" t="s">
        <v>703</v>
      </c>
      <c r="X124" s="261" t="s">
        <v>29</v>
      </c>
      <c r="Y124" s="251" t="s">
        <v>29</v>
      </c>
      <c r="Z124" s="525"/>
      <c r="AA124" s="518" t="s">
        <v>225</v>
      </c>
      <c r="AB124" s="161" t="b">
        <v>0</v>
      </c>
      <c r="AC124" s="161" t="b">
        <v>0</v>
      </c>
      <c r="AD124" s="161" t="b">
        <v>0</v>
      </c>
      <c r="AE124" s="161" t="b">
        <v>0</v>
      </c>
      <c r="AF124" s="161" t="b">
        <v>0</v>
      </c>
      <c r="AG124" s="475" t="b">
        <v>0</v>
      </c>
      <c r="AH124" s="501"/>
      <c r="AI124" s="266">
        <v>9000000.0</v>
      </c>
      <c r="AJ124" s="266"/>
      <c r="AK124" s="270"/>
      <c r="AL124" s="270"/>
      <c r="AM124" s="270"/>
      <c r="AN124" s="270"/>
      <c r="AO124" s="403"/>
      <c r="AP124" s="403"/>
      <c r="AQ124" s="403"/>
      <c r="AR124" s="161" t="b">
        <v>0</v>
      </c>
      <c r="AS124" s="465" t="b">
        <v>0</v>
      </c>
      <c r="AT124" s="404"/>
      <c r="AU124" s="103"/>
      <c r="AV124" s="103"/>
    </row>
    <row r="125">
      <c r="A125" s="404"/>
      <c r="B125" s="477">
        <v>45867.0</v>
      </c>
      <c r="C125" s="478" t="s">
        <v>113</v>
      </c>
      <c r="D125" s="478" t="s">
        <v>250</v>
      </c>
      <c r="E125" s="478"/>
      <c r="F125" s="478" t="s">
        <v>115</v>
      </c>
      <c r="G125" s="478" t="s">
        <v>116</v>
      </c>
      <c r="H125" s="479"/>
      <c r="I125" s="480" t="s">
        <v>704</v>
      </c>
      <c r="J125" s="480" t="s">
        <v>118</v>
      </c>
      <c r="K125" s="481" t="s">
        <v>705</v>
      </c>
      <c r="L125" s="481"/>
      <c r="M125" s="483"/>
      <c r="N125" s="480" t="s">
        <v>119</v>
      </c>
      <c r="O125" s="480" t="s">
        <v>120</v>
      </c>
      <c r="P125" s="478">
        <v>300.0</v>
      </c>
      <c r="Q125" s="480" t="s">
        <v>706</v>
      </c>
      <c r="R125" s="471">
        <f t="shared" si="1"/>
        <v>1</v>
      </c>
      <c r="S125" s="464">
        <v>45875.0</v>
      </c>
      <c r="T125" s="484">
        <v>45875.0</v>
      </c>
      <c r="U125" s="485" t="str">
        <f t="shared" si="2"/>
        <v>7 days</v>
      </c>
      <c r="V125" s="486">
        <v>45868.0</v>
      </c>
      <c r="W125" s="471" t="s">
        <v>707</v>
      </c>
      <c r="X125" s="480" t="s">
        <v>131</v>
      </c>
      <c r="Y125" s="478" t="s">
        <v>132</v>
      </c>
      <c r="Z125" s="488"/>
      <c r="AA125" s="489"/>
      <c r="AB125" s="490" t="b">
        <v>1</v>
      </c>
      <c r="AC125" s="490" t="b">
        <v>1</v>
      </c>
      <c r="AD125" s="490" t="b">
        <v>1</v>
      </c>
      <c r="AE125" s="490" t="b">
        <v>1</v>
      </c>
      <c r="AF125" s="527" t="b">
        <v>0</v>
      </c>
      <c r="AG125" s="475" t="b">
        <v>0</v>
      </c>
      <c r="AH125" s="498"/>
      <c r="AI125" s="491">
        <v>8.6691E7</v>
      </c>
      <c r="AJ125" s="491">
        <f t="shared" ref="AJ125:AJ126" si="16">AI125</f>
        <v>86691000</v>
      </c>
      <c r="AK125" s="478" t="s">
        <v>134</v>
      </c>
      <c r="AL125" s="478" t="s">
        <v>134</v>
      </c>
      <c r="AM125" s="478" t="s">
        <v>134</v>
      </c>
      <c r="AN125" s="478" t="s">
        <v>135</v>
      </c>
      <c r="AO125" s="528" t="s">
        <v>708</v>
      </c>
      <c r="AP125" s="492"/>
      <c r="AQ125" s="492"/>
      <c r="AR125" s="490" t="b">
        <v>1</v>
      </c>
      <c r="AS125" s="484" t="b">
        <v>0</v>
      </c>
      <c r="AT125" s="476"/>
      <c r="AU125" s="404"/>
      <c r="AV125" s="404"/>
    </row>
    <row r="126">
      <c r="A126" s="103"/>
      <c r="B126" s="278">
        <v>45862.0</v>
      </c>
      <c r="C126" s="279" t="s">
        <v>113</v>
      </c>
      <c r="D126" s="279" t="s">
        <v>250</v>
      </c>
      <c r="E126" s="279"/>
      <c r="F126" s="279" t="s">
        <v>115</v>
      </c>
      <c r="G126" s="279" t="s">
        <v>116</v>
      </c>
      <c r="H126" s="139"/>
      <c r="I126" s="349" t="s">
        <v>709</v>
      </c>
      <c r="J126" s="349" t="s">
        <v>118</v>
      </c>
      <c r="K126" s="469" t="s">
        <v>710</v>
      </c>
      <c r="L126" s="406" t="s">
        <v>711</v>
      </c>
      <c r="M126" s="470"/>
      <c r="N126" s="349" t="s">
        <v>119</v>
      </c>
      <c r="O126" s="349" t="s">
        <v>120</v>
      </c>
      <c r="P126" s="279">
        <v>102.0</v>
      </c>
      <c r="Q126" s="349" t="s">
        <v>712</v>
      </c>
      <c r="R126" s="471">
        <f t="shared" si="1"/>
        <v>1</v>
      </c>
      <c r="S126" s="464">
        <v>45876.0</v>
      </c>
      <c r="T126" s="472">
        <v>45876.0</v>
      </c>
      <c r="U126" s="137" t="str">
        <f t="shared" si="2"/>
        <v>14 days</v>
      </c>
      <c r="V126" s="473">
        <v>45862.0</v>
      </c>
      <c r="W126" s="471" t="s">
        <v>713</v>
      </c>
      <c r="X126" s="349" t="s">
        <v>131</v>
      </c>
      <c r="Y126" s="279" t="s">
        <v>132</v>
      </c>
      <c r="Z126" s="192"/>
      <c r="AA126" s="474"/>
      <c r="AB126" s="136" t="b">
        <v>1</v>
      </c>
      <c r="AC126" s="529" t="b">
        <v>0</v>
      </c>
      <c r="AD126" s="529" t="b">
        <v>0</v>
      </c>
      <c r="AE126" s="136" t="b">
        <v>1</v>
      </c>
      <c r="AF126" s="529" t="b">
        <v>0</v>
      </c>
      <c r="AG126" s="475" t="b">
        <v>0</v>
      </c>
      <c r="AH126" s="530"/>
      <c r="AI126" s="326">
        <v>7.69896E7</v>
      </c>
      <c r="AJ126" s="326">
        <f t="shared" si="16"/>
        <v>76989600</v>
      </c>
      <c r="AK126" s="279" t="s">
        <v>134</v>
      </c>
      <c r="AL126" s="279" t="s">
        <v>134</v>
      </c>
      <c r="AM126" s="279" t="s">
        <v>134</v>
      </c>
      <c r="AN126" s="279" t="s">
        <v>135</v>
      </c>
      <c r="AO126" s="295" t="s">
        <v>714</v>
      </c>
      <c r="AP126" s="296"/>
      <c r="AQ126" s="296"/>
      <c r="AR126" s="136" t="b">
        <v>1</v>
      </c>
      <c r="AS126" s="472" t="b">
        <v>0</v>
      </c>
      <c r="AT126" s="297"/>
      <c r="AU126" s="103"/>
      <c r="AV126" s="103"/>
    </row>
    <row r="127">
      <c r="A127" s="404"/>
      <c r="B127" s="477">
        <v>45694.0</v>
      </c>
      <c r="C127" s="478" t="s">
        <v>113</v>
      </c>
      <c r="D127" s="478" t="s">
        <v>114</v>
      </c>
      <c r="E127" s="476"/>
      <c r="F127" s="478" t="s">
        <v>115</v>
      </c>
      <c r="G127" s="478" t="s">
        <v>287</v>
      </c>
      <c r="H127" s="479"/>
      <c r="I127" s="480" t="s">
        <v>715</v>
      </c>
      <c r="J127" s="480" t="s">
        <v>118</v>
      </c>
      <c r="K127" s="481" t="s">
        <v>716</v>
      </c>
      <c r="L127" s="482" t="s">
        <v>717</v>
      </c>
      <c r="M127" s="483"/>
      <c r="N127" s="480" t="s">
        <v>119</v>
      </c>
      <c r="O127" s="480" t="s">
        <v>166</v>
      </c>
      <c r="P127" s="478">
        <v>240.0</v>
      </c>
      <c r="Q127" s="480" t="s">
        <v>718</v>
      </c>
      <c r="R127" s="471">
        <f t="shared" si="1"/>
        <v>3</v>
      </c>
      <c r="S127" s="464">
        <v>45877.0</v>
      </c>
      <c r="T127" s="484">
        <v>45879.0</v>
      </c>
      <c r="U127" s="485" t="str">
        <f t="shared" si="2"/>
        <v>183 days</v>
      </c>
      <c r="V127" s="486">
        <v>45694.0</v>
      </c>
      <c r="W127" s="471" t="s">
        <v>719</v>
      </c>
      <c r="X127" s="480" t="s">
        <v>29</v>
      </c>
      <c r="Y127" s="478" t="s">
        <v>29</v>
      </c>
      <c r="Z127" s="488"/>
      <c r="AA127" s="489"/>
      <c r="AB127" s="527" t="b">
        <v>0</v>
      </c>
      <c r="AC127" s="527" t="b">
        <v>0</v>
      </c>
      <c r="AD127" s="527" t="b">
        <v>0</v>
      </c>
      <c r="AE127" s="527" t="b">
        <v>0</v>
      </c>
      <c r="AF127" s="527" t="b">
        <v>0</v>
      </c>
      <c r="AG127" s="475" t="b">
        <v>0</v>
      </c>
      <c r="AH127" s="498"/>
      <c r="AI127" s="491">
        <v>7.6587225E8</v>
      </c>
      <c r="AJ127" s="491"/>
      <c r="AK127" s="476"/>
      <c r="AL127" s="476"/>
      <c r="AM127" s="476"/>
      <c r="AN127" s="476"/>
      <c r="AO127" s="492"/>
      <c r="AP127" s="492"/>
      <c r="AQ127" s="492"/>
      <c r="AR127" s="490" t="b">
        <v>0</v>
      </c>
      <c r="AS127" s="484" t="b">
        <v>0</v>
      </c>
      <c r="AT127" s="476"/>
      <c r="AU127" s="404"/>
      <c r="AV127" s="404"/>
    </row>
    <row r="128">
      <c r="A128" s="103"/>
      <c r="B128" s="477">
        <v>45849.0</v>
      </c>
      <c r="C128" s="478" t="s">
        <v>113</v>
      </c>
      <c r="D128" s="478" t="s">
        <v>250</v>
      </c>
      <c r="E128" s="476"/>
      <c r="F128" s="478" t="s">
        <v>115</v>
      </c>
      <c r="G128" s="478" t="s">
        <v>170</v>
      </c>
      <c r="H128" s="479"/>
      <c r="I128" s="480" t="s">
        <v>720</v>
      </c>
      <c r="J128" s="480" t="s">
        <v>118</v>
      </c>
      <c r="K128" s="481" t="s">
        <v>721</v>
      </c>
      <c r="L128" s="531"/>
      <c r="M128" s="483"/>
      <c r="N128" s="480" t="s">
        <v>119</v>
      </c>
      <c r="O128" s="480" t="s">
        <v>166</v>
      </c>
      <c r="P128" s="478">
        <v>100.0</v>
      </c>
      <c r="Q128" s="480" t="s">
        <v>722</v>
      </c>
      <c r="R128" s="471">
        <f t="shared" si="1"/>
        <v>2</v>
      </c>
      <c r="S128" s="464">
        <v>45877.0</v>
      </c>
      <c r="T128" s="484">
        <v>45878.0</v>
      </c>
      <c r="U128" s="485" t="str">
        <f t="shared" si="2"/>
        <v>58 days</v>
      </c>
      <c r="V128" s="486">
        <v>45819.0</v>
      </c>
      <c r="W128" s="471" t="s">
        <v>723</v>
      </c>
      <c r="X128" s="480" t="s">
        <v>29</v>
      </c>
      <c r="Y128" s="478" t="s">
        <v>29</v>
      </c>
      <c r="Z128" s="488"/>
      <c r="AA128" s="489"/>
      <c r="AB128" s="527" t="b">
        <v>0</v>
      </c>
      <c r="AC128" s="527" t="b">
        <v>0</v>
      </c>
      <c r="AD128" s="527" t="b">
        <v>0</v>
      </c>
      <c r="AE128" s="527" t="b">
        <v>0</v>
      </c>
      <c r="AF128" s="527" t="b">
        <v>0</v>
      </c>
      <c r="AG128" s="475" t="b">
        <v>0</v>
      </c>
      <c r="AH128" s="498"/>
      <c r="AI128" s="532"/>
      <c r="AJ128" s="532"/>
      <c r="AK128" s="476"/>
      <c r="AL128" s="476"/>
      <c r="AM128" s="476"/>
      <c r="AN128" s="476"/>
      <c r="AO128" s="492"/>
      <c r="AP128" s="492"/>
      <c r="AQ128" s="492"/>
      <c r="AR128" s="490" t="b">
        <v>0</v>
      </c>
      <c r="AS128" s="484" t="b">
        <v>0</v>
      </c>
      <c r="AT128" s="476"/>
      <c r="AU128" s="103"/>
      <c r="AV128" s="103"/>
    </row>
    <row r="129">
      <c r="A129" s="404"/>
      <c r="B129" s="477">
        <v>45833.0</v>
      </c>
      <c r="C129" s="478" t="s">
        <v>113</v>
      </c>
      <c r="D129" s="478" t="s">
        <v>136</v>
      </c>
      <c r="E129" s="476"/>
      <c r="F129" s="478" t="s">
        <v>115</v>
      </c>
      <c r="G129" s="478" t="s">
        <v>170</v>
      </c>
      <c r="H129" s="479"/>
      <c r="I129" s="480" t="s">
        <v>724</v>
      </c>
      <c r="J129" s="480" t="s">
        <v>118</v>
      </c>
      <c r="K129" s="481" t="s">
        <v>725</v>
      </c>
      <c r="L129" s="533"/>
      <c r="M129" s="483"/>
      <c r="N129" s="480" t="s">
        <v>119</v>
      </c>
      <c r="O129" s="480" t="s">
        <v>120</v>
      </c>
      <c r="P129" s="478">
        <v>16.0</v>
      </c>
      <c r="Q129" s="480" t="s">
        <v>415</v>
      </c>
      <c r="R129" s="471">
        <f t="shared" si="1"/>
        <v>0</v>
      </c>
      <c r="S129" s="464">
        <v>45878.0</v>
      </c>
      <c r="T129" s="484">
        <v>45877.0</v>
      </c>
      <c r="U129" s="485" t="str">
        <f t="shared" si="2"/>
        <v>45 days</v>
      </c>
      <c r="V129" s="486">
        <v>45833.0</v>
      </c>
      <c r="W129" s="471" t="s">
        <v>726</v>
      </c>
      <c r="X129" s="480" t="s">
        <v>29</v>
      </c>
      <c r="Y129" s="478" t="s">
        <v>29</v>
      </c>
      <c r="Z129" s="488"/>
      <c r="AA129" s="489"/>
      <c r="AB129" s="490" t="b">
        <v>1</v>
      </c>
      <c r="AC129" s="490" t="b">
        <v>1</v>
      </c>
      <c r="AD129" s="527" t="b">
        <v>0</v>
      </c>
      <c r="AE129" s="527" t="b">
        <v>0</v>
      </c>
      <c r="AF129" s="527" t="b">
        <v>0</v>
      </c>
      <c r="AG129" s="475" t="b">
        <v>0</v>
      </c>
      <c r="AH129" s="498"/>
      <c r="AI129" s="491">
        <v>9.4017E7</v>
      </c>
      <c r="AJ129" s="491"/>
      <c r="AK129" s="476"/>
      <c r="AL129" s="476"/>
      <c r="AM129" s="476"/>
      <c r="AN129" s="476"/>
      <c r="AO129" s="492"/>
      <c r="AP129" s="492"/>
      <c r="AQ129" s="492"/>
      <c r="AR129" s="490" t="b">
        <v>0</v>
      </c>
      <c r="AS129" s="484" t="b">
        <v>0</v>
      </c>
      <c r="AT129" s="476"/>
      <c r="AU129" s="404"/>
      <c r="AV129" s="404"/>
    </row>
    <row r="130">
      <c r="A130" s="103"/>
      <c r="B130" s="250">
        <v>45841.0</v>
      </c>
      <c r="C130" s="251" t="s">
        <v>113</v>
      </c>
      <c r="D130" s="251" t="s">
        <v>136</v>
      </c>
      <c r="E130" s="404"/>
      <c r="F130" s="251" t="s">
        <v>115</v>
      </c>
      <c r="G130" s="251" t="s">
        <v>287</v>
      </c>
      <c r="H130" s="166"/>
      <c r="I130" s="392" t="s">
        <v>727</v>
      </c>
      <c r="J130" s="261" t="s">
        <v>118</v>
      </c>
      <c r="K130" s="461" t="s">
        <v>728</v>
      </c>
      <c r="L130" s="462" t="s">
        <v>729</v>
      </c>
      <c r="M130" s="521"/>
      <c r="N130" s="261" t="s">
        <v>119</v>
      </c>
      <c r="O130" s="261" t="s">
        <v>120</v>
      </c>
      <c r="P130" s="404"/>
      <c r="Q130" s="392" t="s">
        <v>415</v>
      </c>
      <c r="R130" s="471">
        <f t="shared" si="1"/>
        <v>1</v>
      </c>
      <c r="S130" s="464">
        <v>45878.0</v>
      </c>
      <c r="T130" s="465">
        <v>45878.0</v>
      </c>
      <c r="U130" s="162" t="str">
        <f t="shared" si="2"/>
        <v>37 days</v>
      </c>
      <c r="V130" s="466">
        <v>45841.0</v>
      </c>
      <c r="W130" s="471" t="s">
        <v>730</v>
      </c>
      <c r="X130" s="261" t="s">
        <v>29</v>
      </c>
      <c r="Y130" s="251" t="s">
        <v>29</v>
      </c>
      <c r="Z130" s="525"/>
      <c r="AA130" s="467"/>
      <c r="AB130" s="161" t="b">
        <v>1</v>
      </c>
      <c r="AC130" s="161" t="b">
        <v>1</v>
      </c>
      <c r="AD130" s="161" t="b">
        <v>0</v>
      </c>
      <c r="AE130" s="161" t="b">
        <v>0</v>
      </c>
      <c r="AF130" s="161" t="b">
        <v>0</v>
      </c>
      <c r="AG130" s="475" t="b">
        <v>0</v>
      </c>
      <c r="AH130" s="501"/>
      <c r="AI130" s="266">
        <v>1.9869E7</v>
      </c>
      <c r="AJ130" s="266"/>
      <c r="AK130" s="270"/>
      <c r="AL130" s="270"/>
      <c r="AM130" s="270"/>
      <c r="AN130" s="270"/>
      <c r="AO130" s="403"/>
      <c r="AP130" s="403"/>
      <c r="AQ130" s="403"/>
      <c r="AR130" s="161" t="b">
        <v>1</v>
      </c>
      <c r="AS130" s="465" t="b">
        <v>0</v>
      </c>
      <c r="AT130" s="404"/>
      <c r="AU130" s="103"/>
      <c r="AV130" s="103"/>
    </row>
    <row r="131">
      <c r="A131" s="404"/>
      <c r="B131" s="534">
        <v>45873.0</v>
      </c>
      <c r="C131" s="535" t="s">
        <v>113</v>
      </c>
      <c r="D131" s="535" t="s">
        <v>114</v>
      </c>
      <c r="E131" s="508"/>
      <c r="F131" s="535" t="s">
        <v>115</v>
      </c>
      <c r="G131" s="535" t="s">
        <v>287</v>
      </c>
      <c r="H131" s="479"/>
      <c r="I131" s="536" t="s">
        <v>731</v>
      </c>
      <c r="J131" s="508" t="s">
        <v>118</v>
      </c>
      <c r="K131" s="537" t="s">
        <v>732</v>
      </c>
      <c r="L131" s="538"/>
      <c r="M131" s="539"/>
      <c r="N131" s="540" t="s">
        <v>127</v>
      </c>
      <c r="O131" s="540" t="s">
        <v>182</v>
      </c>
      <c r="P131" s="541">
        <v>0.0</v>
      </c>
      <c r="Q131" s="540" t="s">
        <v>167</v>
      </c>
      <c r="R131" s="471">
        <f t="shared" si="1"/>
        <v>1</v>
      </c>
      <c r="S131" s="542">
        <v>45878.0</v>
      </c>
      <c r="T131" s="543">
        <v>45878.0</v>
      </c>
      <c r="U131" s="485" t="str">
        <f t="shared" si="2"/>
        <v>5 days</v>
      </c>
      <c r="V131" s="486">
        <v>45873.0</v>
      </c>
      <c r="W131" s="471" t="s">
        <v>733</v>
      </c>
      <c r="X131" s="480" t="s">
        <v>29</v>
      </c>
      <c r="Y131" s="478" t="s">
        <v>29</v>
      </c>
      <c r="Z131" s="508"/>
      <c r="AA131" s="509"/>
      <c r="AB131" s="510" t="b">
        <v>1</v>
      </c>
      <c r="AC131" s="544" t="b">
        <v>0</v>
      </c>
      <c r="AD131" s="544" t="b">
        <v>0</v>
      </c>
      <c r="AE131" s="544" t="b">
        <v>0</v>
      </c>
      <c r="AF131" s="544" t="b">
        <v>0</v>
      </c>
      <c r="AG131" s="475" t="b">
        <v>0</v>
      </c>
      <c r="AH131" s="511"/>
      <c r="AI131" s="545">
        <v>1.554E7</v>
      </c>
      <c r="AJ131" s="545"/>
      <c r="AK131" s="546"/>
      <c r="AL131" s="546"/>
      <c r="AM131" s="546"/>
      <c r="AN131" s="546"/>
      <c r="AO131" s="547"/>
      <c r="AP131" s="547"/>
      <c r="AQ131" s="547"/>
      <c r="AR131" s="490" t="b">
        <v>0</v>
      </c>
      <c r="AS131" s="484" t="b">
        <v>0</v>
      </c>
      <c r="AT131" s="103"/>
      <c r="AU131" s="404"/>
      <c r="AV131" s="404"/>
    </row>
    <row r="132">
      <c r="A132" s="103"/>
      <c r="B132" s="477">
        <v>45701.0</v>
      </c>
      <c r="C132" s="478" t="s">
        <v>190</v>
      </c>
      <c r="D132" s="478" t="s">
        <v>136</v>
      </c>
      <c r="E132" s="478" t="s">
        <v>734</v>
      </c>
      <c r="F132" s="478" t="s">
        <v>115</v>
      </c>
      <c r="G132" s="478" t="s">
        <v>192</v>
      </c>
      <c r="H132" s="479"/>
      <c r="I132" s="480" t="s">
        <v>735</v>
      </c>
      <c r="J132" s="480" t="s">
        <v>118</v>
      </c>
      <c r="K132" s="481" t="s">
        <v>736</v>
      </c>
      <c r="L132" s="482" t="s">
        <v>737</v>
      </c>
      <c r="M132" s="483"/>
      <c r="N132" s="480" t="s">
        <v>543</v>
      </c>
      <c r="O132" s="480" t="s">
        <v>738</v>
      </c>
      <c r="P132" s="478">
        <v>814.0</v>
      </c>
      <c r="Q132" s="480" t="s">
        <v>735</v>
      </c>
      <c r="R132" s="471">
        <f t="shared" si="1"/>
        <v>1</v>
      </c>
      <c r="S132" s="464">
        <v>45879.0</v>
      </c>
      <c r="T132" s="484">
        <v>45879.0</v>
      </c>
      <c r="U132" s="485" t="str">
        <f t="shared" si="2"/>
        <v>-3 days</v>
      </c>
      <c r="V132" s="486">
        <v>45882.0</v>
      </c>
      <c r="W132" s="471" t="s">
        <v>739</v>
      </c>
      <c r="X132" s="480" t="s">
        <v>29</v>
      </c>
      <c r="Y132" s="478" t="s">
        <v>29</v>
      </c>
      <c r="Z132" s="488"/>
      <c r="AA132" s="489"/>
      <c r="AB132" s="490" t="b">
        <v>1</v>
      </c>
      <c r="AC132" s="527" t="b">
        <v>0</v>
      </c>
      <c r="AD132" s="490" t="b">
        <v>0</v>
      </c>
      <c r="AE132" s="490" t="b">
        <v>0</v>
      </c>
      <c r="AF132" s="527" t="b">
        <v>0</v>
      </c>
      <c r="AG132" s="475" t="b">
        <v>0</v>
      </c>
      <c r="AH132" s="498"/>
      <c r="AI132" s="491">
        <v>1.628E8</v>
      </c>
      <c r="AJ132" s="491"/>
      <c r="AK132" s="476"/>
      <c r="AL132" s="476"/>
      <c r="AM132" s="476"/>
      <c r="AN132" s="476"/>
      <c r="AO132" s="492"/>
      <c r="AP132" s="492"/>
      <c r="AQ132" s="492"/>
      <c r="AR132" s="490" t="b">
        <v>0</v>
      </c>
      <c r="AS132" s="484" t="b">
        <v>0</v>
      </c>
      <c r="AT132" s="476"/>
      <c r="AU132" s="103"/>
      <c r="AV132" s="103"/>
    </row>
    <row r="133">
      <c r="A133" s="404"/>
      <c r="B133" s="534">
        <v>45874.0</v>
      </c>
      <c r="C133" s="506" t="s">
        <v>190</v>
      </c>
      <c r="D133" s="535" t="s">
        <v>114</v>
      </c>
      <c r="E133" s="508"/>
      <c r="F133" s="535" t="s">
        <v>115</v>
      </c>
      <c r="G133" s="535" t="s">
        <v>287</v>
      </c>
      <c r="H133" s="479"/>
      <c r="I133" s="536" t="s">
        <v>740</v>
      </c>
      <c r="J133" s="536" t="s">
        <v>155</v>
      </c>
      <c r="K133" s="537" t="s">
        <v>741</v>
      </c>
      <c r="L133" s="538"/>
      <c r="M133" s="539"/>
      <c r="N133" s="540" t="s">
        <v>543</v>
      </c>
      <c r="O133" s="548" t="s">
        <v>196</v>
      </c>
      <c r="P133" s="541">
        <v>50.0</v>
      </c>
      <c r="Q133" s="540" t="s">
        <v>742</v>
      </c>
      <c r="R133" s="471">
        <f t="shared" si="1"/>
        <v>1</v>
      </c>
      <c r="S133" s="542">
        <v>45879.0</v>
      </c>
      <c r="T133" s="543">
        <v>45879.0</v>
      </c>
      <c r="U133" s="485" t="str">
        <f t="shared" si="2"/>
        <v>5 days</v>
      </c>
      <c r="V133" s="549">
        <v>45874.0</v>
      </c>
      <c r="W133" s="471" t="s">
        <v>743</v>
      </c>
      <c r="X133" s="480" t="s">
        <v>29</v>
      </c>
      <c r="Y133" s="478" t="s">
        <v>29</v>
      </c>
      <c r="Z133" s="508"/>
      <c r="AA133" s="509"/>
      <c r="AB133" s="510" t="b">
        <v>1</v>
      </c>
      <c r="AC133" s="544" t="b">
        <v>0</v>
      </c>
      <c r="AD133" s="544" t="b">
        <v>0</v>
      </c>
      <c r="AE133" s="544" t="b">
        <v>0</v>
      </c>
      <c r="AF133" s="544" t="b">
        <v>0</v>
      </c>
      <c r="AG133" s="475" t="b">
        <v>0</v>
      </c>
      <c r="AH133" s="511"/>
      <c r="AI133" s="545">
        <v>8000000.0</v>
      </c>
      <c r="AJ133" s="545"/>
      <c r="AK133" s="546"/>
      <c r="AL133" s="546"/>
      <c r="AM133" s="546"/>
      <c r="AN133" s="546"/>
      <c r="AO133" s="547"/>
      <c r="AP133" s="547"/>
      <c r="AQ133" s="547"/>
      <c r="AR133" s="490" t="b">
        <v>0</v>
      </c>
      <c r="AS133" s="484" t="b">
        <v>0</v>
      </c>
      <c r="AT133" s="103"/>
      <c r="AU133" s="404"/>
      <c r="AV133" s="404"/>
    </row>
    <row r="134">
      <c r="A134" s="103"/>
      <c r="B134" s="477">
        <v>45862.0</v>
      </c>
      <c r="C134" s="506" t="s">
        <v>190</v>
      </c>
      <c r="D134" s="535" t="s">
        <v>114</v>
      </c>
      <c r="E134" s="103"/>
      <c r="F134" s="478" t="s">
        <v>357</v>
      </c>
      <c r="G134" s="478" t="s">
        <v>192</v>
      </c>
      <c r="H134" s="479"/>
      <c r="I134" s="495" t="s">
        <v>744</v>
      </c>
      <c r="J134" s="480" t="s">
        <v>118</v>
      </c>
      <c r="K134" s="481" t="s">
        <v>745</v>
      </c>
      <c r="L134" s="482" t="s">
        <v>746</v>
      </c>
      <c r="M134" s="507"/>
      <c r="N134" s="480" t="s">
        <v>345</v>
      </c>
      <c r="O134" s="480" t="s">
        <v>166</v>
      </c>
      <c r="P134" s="106">
        <v>43.0</v>
      </c>
      <c r="Q134" s="495" t="s">
        <v>747</v>
      </c>
      <c r="R134" s="471">
        <f t="shared" si="1"/>
        <v>2</v>
      </c>
      <c r="S134" s="464">
        <v>45880.0</v>
      </c>
      <c r="T134" s="484">
        <v>45881.0</v>
      </c>
      <c r="U134" s="485" t="str">
        <f t="shared" si="2"/>
        <v>11 days</v>
      </c>
      <c r="V134" s="486">
        <v>45869.0</v>
      </c>
      <c r="W134" s="471" t="s">
        <v>748</v>
      </c>
      <c r="X134" s="480" t="s">
        <v>131</v>
      </c>
      <c r="Y134" s="478" t="s">
        <v>132</v>
      </c>
      <c r="Z134" s="508"/>
      <c r="AA134" s="509"/>
      <c r="AB134" s="510" t="b">
        <v>1</v>
      </c>
      <c r="AC134" s="510" t="b">
        <v>1</v>
      </c>
      <c r="AD134" s="510" t="b">
        <v>1</v>
      </c>
      <c r="AE134" s="510" t="b">
        <v>1</v>
      </c>
      <c r="AF134" s="510" t="b">
        <v>1</v>
      </c>
      <c r="AG134" s="475" t="b">
        <v>0</v>
      </c>
      <c r="AH134" s="511"/>
      <c r="AI134" s="505">
        <v>2.34E8</v>
      </c>
      <c r="AJ134" s="505">
        <f t="shared" ref="AJ134:AJ135" si="17">AI134</f>
        <v>234000000</v>
      </c>
      <c r="AK134" s="512" t="s">
        <v>134</v>
      </c>
      <c r="AL134" s="512" t="s">
        <v>134</v>
      </c>
      <c r="AM134" s="512" t="s">
        <v>134</v>
      </c>
      <c r="AN134" s="478" t="s">
        <v>135</v>
      </c>
      <c r="AO134" s="499"/>
      <c r="AP134" s="550" t="s">
        <v>749</v>
      </c>
      <c r="AQ134" s="499"/>
      <c r="AR134" s="490" t="b">
        <v>0</v>
      </c>
      <c r="AS134" s="484" t="b">
        <v>0</v>
      </c>
      <c r="AT134" s="103"/>
      <c r="AU134" s="103"/>
      <c r="AV134" s="103"/>
    </row>
    <row r="135">
      <c r="A135" s="404"/>
      <c r="B135" s="534">
        <v>45874.0</v>
      </c>
      <c r="C135" s="506" t="s">
        <v>190</v>
      </c>
      <c r="D135" s="535" t="s">
        <v>114</v>
      </c>
      <c r="E135" s="508"/>
      <c r="F135" s="535" t="s">
        <v>115</v>
      </c>
      <c r="G135" s="535" t="s">
        <v>287</v>
      </c>
      <c r="H135" s="479"/>
      <c r="I135" s="536" t="s">
        <v>750</v>
      </c>
      <c r="J135" s="536" t="s">
        <v>118</v>
      </c>
      <c r="K135" s="537" t="s">
        <v>751</v>
      </c>
      <c r="L135" s="538"/>
      <c r="M135" s="539"/>
      <c r="N135" s="540" t="s">
        <v>119</v>
      </c>
      <c r="O135" s="540" t="s">
        <v>120</v>
      </c>
      <c r="P135" s="541">
        <v>72.0</v>
      </c>
      <c r="Q135" s="540" t="s">
        <v>752</v>
      </c>
      <c r="R135" s="471">
        <f t="shared" si="1"/>
        <v>1</v>
      </c>
      <c r="S135" s="542">
        <v>45880.0</v>
      </c>
      <c r="T135" s="543">
        <v>45880.0</v>
      </c>
      <c r="U135" s="485" t="str">
        <f t="shared" si="2"/>
        <v>4 days</v>
      </c>
      <c r="V135" s="549">
        <v>45876.0</v>
      </c>
      <c r="W135" s="471" t="s">
        <v>753</v>
      </c>
      <c r="X135" s="512" t="s">
        <v>131</v>
      </c>
      <c r="Y135" s="506" t="s">
        <v>132</v>
      </c>
      <c r="Z135" s="508"/>
      <c r="AA135" s="509"/>
      <c r="AB135" s="510" t="b">
        <v>1</v>
      </c>
      <c r="AC135" s="544" t="b">
        <v>0</v>
      </c>
      <c r="AD135" s="544" t="b">
        <v>0</v>
      </c>
      <c r="AE135" s="544" t="b">
        <v>0</v>
      </c>
      <c r="AF135" s="544" t="b">
        <v>0</v>
      </c>
      <c r="AG135" s="475" t="b">
        <v>0</v>
      </c>
      <c r="AH135" s="511"/>
      <c r="AI135" s="545">
        <v>1.8E7</v>
      </c>
      <c r="AJ135" s="545">
        <f t="shared" si="17"/>
        <v>18000000</v>
      </c>
      <c r="AK135" s="512" t="s">
        <v>134</v>
      </c>
      <c r="AL135" s="512" t="s">
        <v>134</v>
      </c>
      <c r="AM135" s="512" t="s">
        <v>134</v>
      </c>
      <c r="AN135" s="512" t="s">
        <v>135</v>
      </c>
      <c r="AO135" s="547"/>
      <c r="AP135" s="547"/>
      <c r="AQ135" s="547"/>
      <c r="AR135" s="490" t="b">
        <v>1</v>
      </c>
      <c r="AS135" s="484" t="b">
        <v>0</v>
      </c>
      <c r="AT135" s="103"/>
      <c r="AU135" s="270"/>
      <c r="AV135" s="270"/>
    </row>
    <row r="136">
      <c r="A136" s="103"/>
      <c r="B136" s="250">
        <v>45833.0</v>
      </c>
      <c r="C136" s="251" t="s">
        <v>113</v>
      </c>
      <c r="D136" s="251" t="s">
        <v>250</v>
      </c>
      <c r="E136" s="270"/>
      <c r="F136" s="251" t="s">
        <v>115</v>
      </c>
      <c r="G136" s="251" t="s">
        <v>162</v>
      </c>
      <c r="H136" s="166"/>
      <c r="I136" s="261" t="s">
        <v>754</v>
      </c>
      <c r="J136" s="261" t="s">
        <v>118</v>
      </c>
      <c r="K136" s="255" t="s">
        <v>755</v>
      </c>
      <c r="L136" s="551"/>
      <c r="M136" s="463"/>
      <c r="N136" s="261" t="s">
        <v>119</v>
      </c>
      <c r="O136" s="261" t="s">
        <v>166</v>
      </c>
      <c r="P136" s="251">
        <v>80.0</v>
      </c>
      <c r="Q136" s="261" t="s">
        <v>756</v>
      </c>
      <c r="R136" s="471">
        <f t="shared" si="1"/>
        <v>3</v>
      </c>
      <c r="S136" s="500">
        <v>45884.0</v>
      </c>
      <c r="T136" s="465">
        <v>45886.0</v>
      </c>
      <c r="U136" s="162" t="str">
        <f t="shared" si="2"/>
        <v>46 days</v>
      </c>
      <c r="V136" s="466">
        <v>45838.0</v>
      </c>
      <c r="W136" s="471" t="s">
        <v>757</v>
      </c>
      <c r="X136" s="261" t="s">
        <v>29</v>
      </c>
      <c r="Y136" s="251" t="s">
        <v>29</v>
      </c>
      <c r="Z136" s="174"/>
      <c r="AA136" s="518" t="s">
        <v>189</v>
      </c>
      <c r="AB136" s="161" t="b">
        <v>1</v>
      </c>
      <c r="AC136" s="161" t="b">
        <v>1</v>
      </c>
      <c r="AD136" s="468" t="b">
        <v>0</v>
      </c>
      <c r="AE136" s="468" t="b">
        <v>0</v>
      </c>
      <c r="AF136" s="468" t="b">
        <v>0</v>
      </c>
      <c r="AG136" s="475" t="b">
        <v>0</v>
      </c>
      <c r="AH136" s="501"/>
      <c r="AI136" s="377">
        <v>2.4886422E8</v>
      </c>
      <c r="AJ136" s="377"/>
      <c r="AK136" s="270"/>
      <c r="AL136" s="270"/>
      <c r="AM136" s="270"/>
      <c r="AN136" s="270"/>
      <c r="AO136" s="269"/>
      <c r="AP136" s="269"/>
      <c r="AQ136" s="269"/>
      <c r="AR136" s="163"/>
      <c r="AS136" s="186"/>
      <c r="AT136" s="404"/>
      <c r="AU136" s="476"/>
      <c r="AV136" s="476"/>
    </row>
    <row r="137">
      <c r="A137" s="404"/>
      <c r="B137" s="250">
        <v>45872.0</v>
      </c>
      <c r="C137" s="251" t="s">
        <v>113</v>
      </c>
      <c r="D137" s="252" t="s">
        <v>136</v>
      </c>
      <c r="E137" s="253"/>
      <c r="F137" s="251" t="s">
        <v>115</v>
      </c>
      <c r="G137" s="252" t="s">
        <v>162</v>
      </c>
      <c r="H137" s="166"/>
      <c r="I137" s="254" t="s">
        <v>758</v>
      </c>
      <c r="J137" s="254" t="s">
        <v>118</v>
      </c>
      <c r="K137" s="255" t="s">
        <v>759</v>
      </c>
      <c r="L137" s="255"/>
      <c r="M137" s="257"/>
      <c r="N137" s="258" t="s">
        <v>119</v>
      </c>
      <c r="O137" s="259" t="s">
        <v>182</v>
      </c>
      <c r="P137" s="253">
        <v>0.0</v>
      </c>
      <c r="Q137" s="261" t="s">
        <v>415</v>
      </c>
      <c r="R137" s="175">
        <f t="shared" si="1"/>
        <v>32</v>
      </c>
      <c r="S137" s="148">
        <v>45884.0</v>
      </c>
      <c r="T137" s="242">
        <v>45915.0</v>
      </c>
      <c r="U137" s="162" t="str">
        <f t="shared" si="2"/>
        <v>12 days</v>
      </c>
      <c r="V137" s="262">
        <v>45872.0</v>
      </c>
      <c r="W137" s="175" t="s">
        <v>760</v>
      </c>
      <c r="X137" s="259" t="s">
        <v>29</v>
      </c>
      <c r="Y137" s="263" t="s">
        <v>29</v>
      </c>
      <c r="Z137" s="172"/>
      <c r="AA137" s="264"/>
      <c r="AB137" s="162" t="b">
        <v>1</v>
      </c>
      <c r="AC137" s="175" t="b">
        <v>1</v>
      </c>
      <c r="AD137" s="272" t="b">
        <v>0</v>
      </c>
      <c r="AE137" s="180" t="b">
        <v>0</v>
      </c>
      <c r="AF137" s="181" t="b">
        <v>0</v>
      </c>
      <c r="AG137" s="180" t="b">
        <v>0</v>
      </c>
      <c r="AH137" s="166"/>
      <c r="AI137" s="265">
        <v>6.8154E7</v>
      </c>
      <c r="AJ137" s="266"/>
      <c r="AK137" s="270"/>
      <c r="AL137" s="270"/>
      <c r="AM137" s="270"/>
      <c r="AN137" s="304"/>
      <c r="AO137" s="269"/>
      <c r="AP137" s="269"/>
      <c r="AQ137" s="269"/>
      <c r="AR137" s="163" t="b">
        <v>0</v>
      </c>
      <c r="AS137" s="186" t="b">
        <v>0</v>
      </c>
      <c r="AT137" s="270"/>
      <c r="AU137" s="270"/>
      <c r="AV137" s="270"/>
    </row>
    <row r="138">
      <c r="A138" s="103"/>
      <c r="B138" s="477">
        <v>45799.0</v>
      </c>
      <c r="C138" s="478" t="s">
        <v>113</v>
      </c>
      <c r="D138" s="478" t="s">
        <v>136</v>
      </c>
      <c r="E138" s="476"/>
      <c r="F138" s="478" t="s">
        <v>115</v>
      </c>
      <c r="G138" s="478" t="s">
        <v>116</v>
      </c>
      <c r="H138" s="479"/>
      <c r="I138" s="480" t="s">
        <v>761</v>
      </c>
      <c r="J138" s="480" t="s">
        <v>118</v>
      </c>
      <c r="K138" s="255"/>
      <c r="L138" s="303"/>
      <c r="M138" s="483"/>
      <c r="N138" s="480" t="s">
        <v>119</v>
      </c>
      <c r="O138" s="480" t="s">
        <v>120</v>
      </c>
      <c r="P138" s="478">
        <v>50.0</v>
      </c>
      <c r="Q138" s="480" t="s">
        <v>762</v>
      </c>
      <c r="R138" s="471">
        <f t="shared" si="1"/>
        <v>1</v>
      </c>
      <c r="S138" s="464">
        <v>45885.0</v>
      </c>
      <c r="T138" s="484">
        <v>45885.0</v>
      </c>
      <c r="U138" s="485" t="str">
        <f t="shared" si="2"/>
        <v>86 days</v>
      </c>
      <c r="V138" s="486">
        <v>45799.0</v>
      </c>
      <c r="W138" s="471" t="s">
        <v>763</v>
      </c>
      <c r="X138" s="480" t="s">
        <v>29</v>
      </c>
      <c r="Y138" s="478" t="s">
        <v>29</v>
      </c>
      <c r="Z138" s="488"/>
      <c r="AA138" s="552" t="s">
        <v>225</v>
      </c>
      <c r="AB138" s="527" t="b">
        <v>0</v>
      </c>
      <c r="AC138" s="527" t="b">
        <v>0</v>
      </c>
      <c r="AD138" s="527" t="b">
        <v>0</v>
      </c>
      <c r="AE138" s="527" t="b">
        <v>0</v>
      </c>
      <c r="AF138" s="527" t="b">
        <v>0</v>
      </c>
      <c r="AG138" s="475" t="b">
        <v>0</v>
      </c>
      <c r="AH138" s="498"/>
      <c r="AI138" s="491">
        <v>1.845E7</v>
      </c>
      <c r="AJ138" s="491"/>
      <c r="AK138" s="476"/>
      <c r="AL138" s="476"/>
      <c r="AM138" s="476"/>
      <c r="AN138" s="476"/>
      <c r="AO138" s="492"/>
      <c r="AP138" s="492"/>
      <c r="AQ138" s="492"/>
      <c r="AR138" s="493" t="b">
        <v>0</v>
      </c>
      <c r="AS138" s="494" t="b">
        <v>0</v>
      </c>
      <c r="AT138" s="476"/>
      <c r="AU138" s="476"/>
      <c r="AV138" s="476"/>
    </row>
    <row r="139">
      <c r="A139" s="404"/>
      <c r="B139" s="278">
        <v>45867.0</v>
      </c>
      <c r="C139" s="279" t="s">
        <v>113</v>
      </c>
      <c r="D139" s="279" t="s">
        <v>652</v>
      </c>
      <c r="E139" s="279"/>
      <c r="F139" s="279" t="s">
        <v>764</v>
      </c>
      <c r="G139" s="279" t="s">
        <v>170</v>
      </c>
      <c r="H139" s="139"/>
      <c r="I139" s="349" t="s">
        <v>765</v>
      </c>
      <c r="J139" s="349" t="s">
        <v>118</v>
      </c>
      <c r="K139" s="347" t="s">
        <v>766</v>
      </c>
      <c r="L139" s="348" t="s">
        <v>767</v>
      </c>
      <c r="M139" s="470"/>
      <c r="N139" s="349" t="s">
        <v>119</v>
      </c>
      <c r="O139" s="349" t="s">
        <v>166</v>
      </c>
      <c r="P139" s="279">
        <v>50.0</v>
      </c>
      <c r="Q139" s="349" t="s">
        <v>768</v>
      </c>
      <c r="R139" s="471">
        <f t="shared" si="1"/>
        <v>1</v>
      </c>
      <c r="S139" s="464">
        <v>45885.0</v>
      </c>
      <c r="T139" s="472">
        <v>45885.0</v>
      </c>
      <c r="U139" s="137" t="str">
        <f t="shared" si="2"/>
        <v>28 days</v>
      </c>
      <c r="V139" s="473">
        <v>45857.0</v>
      </c>
      <c r="W139" s="471" t="s">
        <v>769</v>
      </c>
      <c r="X139" s="261" t="s">
        <v>29</v>
      </c>
      <c r="Y139" s="251" t="s">
        <v>29</v>
      </c>
      <c r="Z139" s="192"/>
      <c r="AA139" s="474"/>
      <c r="AB139" s="529" t="b">
        <v>0</v>
      </c>
      <c r="AC139" s="529" t="b">
        <v>0</v>
      </c>
      <c r="AD139" s="529" t="b">
        <v>0</v>
      </c>
      <c r="AE139" s="529" t="b">
        <v>0</v>
      </c>
      <c r="AF139" s="529" t="b">
        <v>0</v>
      </c>
      <c r="AG139" s="475" t="b">
        <v>0</v>
      </c>
      <c r="AH139" s="530"/>
      <c r="AI139" s="326">
        <v>3.473745E7</v>
      </c>
      <c r="AJ139" s="326"/>
      <c r="AK139" s="297"/>
      <c r="AL139" s="297"/>
      <c r="AM139" s="297"/>
      <c r="AN139" s="297"/>
      <c r="AO139" s="553"/>
      <c r="AP139" s="553"/>
      <c r="AQ139" s="553"/>
      <c r="AR139" s="138" t="b">
        <v>0</v>
      </c>
      <c r="AS139" s="149" t="b">
        <v>0</v>
      </c>
      <c r="AT139" s="383"/>
      <c r="AU139" s="270"/>
      <c r="AV139" s="270"/>
    </row>
    <row r="140">
      <c r="A140" s="103"/>
      <c r="B140" s="477">
        <v>45813.0</v>
      </c>
      <c r="C140" s="478" t="s">
        <v>113</v>
      </c>
      <c r="D140" s="478" t="s">
        <v>250</v>
      </c>
      <c r="E140" s="478"/>
      <c r="F140" s="478" t="s">
        <v>115</v>
      </c>
      <c r="G140" s="478" t="s">
        <v>170</v>
      </c>
      <c r="H140" s="479"/>
      <c r="I140" s="480" t="s">
        <v>770</v>
      </c>
      <c r="J140" s="480" t="s">
        <v>118</v>
      </c>
      <c r="K140" s="347" t="s">
        <v>771</v>
      </c>
      <c r="L140" s="348" t="s">
        <v>772</v>
      </c>
      <c r="M140" s="483"/>
      <c r="N140" s="480" t="s">
        <v>543</v>
      </c>
      <c r="O140" s="480" t="s">
        <v>196</v>
      </c>
      <c r="P140" s="478">
        <v>250.0</v>
      </c>
      <c r="Q140" s="480" t="s">
        <v>773</v>
      </c>
      <c r="R140" s="471">
        <f t="shared" si="1"/>
        <v>1</v>
      </c>
      <c r="S140" s="464">
        <v>45886.0</v>
      </c>
      <c r="T140" s="484">
        <v>45886.0</v>
      </c>
      <c r="U140" s="485" t="str">
        <f t="shared" si="2"/>
        <v>73 days</v>
      </c>
      <c r="V140" s="486">
        <v>45813.0</v>
      </c>
      <c r="W140" s="471" t="s">
        <v>774</v>
      </c>
      <c r="X140" s="480" t="s">
        <v>131</v>
      </c>
      <c r="Y140" s="478" t="s">
        <v>132</v>
      </c>
      <c r="Z140" s="488"/>
      <c r="AA140" s="489"/>
      <c r="AB140" s="490" t="b">
        <v>1</v>
      </c>
      <c r="AC140" s="490" t="b">
        <v>1</v>
      </c>
      <c r="AD140" s="490" t="b">
        <v>1</v>
      </c>
      <c r="AE140" s="490" t="b">
        <v>1</v>
      </c>
      <c r="AF140" s="490" t="b">
        <v>1</v>
      </c>
      <c r="AG140" s="475" t="b">
        <v>0</v>
      </c>
      <c r="AH140" s="498"/>
      <c r="AI140" s="491">
        <v>2.16335481E8</v>
      </c>
      <c r="AJ140" s="491">
        <f>AI140</f>
        <v>216335481</v>
      </c>
      <c r="AK140" s="478" t="s">
        <v>134</v>
      </c>
      <c r="AL140" s="478" t="s">
        <v>134</v>
      </c>
      <c r="AM140" s="478" t="s">
        <v>134</v>
      </c>
      <c r="AN140" s="476"/>
      <c r="AO140" s="492"/>
      <c r="AP140" s="492"/>
      <c r="AQ140" s="492"/>
      <c r="AR140" s="493" t="b">
        <v>1</v>
      </c>
      <c r="AS140" s="494" t="b">
        <v>0</v>
      </c>
      <c r="AT140" s="476"/>
      <c r="AU140" s="476"/>
      <c r="AV140" s="476"/>
    </row>
    <row r="141">
      <c r="A141" s="404"/>
      <c r="B141" s="278">
        <v>45864.0</v>
      </c>
      <c r="C141" s="279" t="s">
        <v>113</v>
      </c>
      <c r="D141" s="279" t="s">
        <v>250</v>
      </c>
      <c r="E141" s="279"/>
      <c r="F141" s="279" t="s">
        <v>115</v>
      </c>
      <c r="G141" s="279" t="s">
        <v>170</v>
      </c>
      <c r="H141" s="139"/>
      <c r="I141" s="349" t="s">
        <v>770</v>
      </c>
      <c r="J141" s="349" t="s">
        <v>118</v>
      </c>
      <c r="K141" s="347" t="s">
        <v>771</v>
      </c>
      <c r="L141" s="348" t="s">
        <v>772</v>
      </c>
      <c r="M141" s="470"/>
      <c r="N141" s="349" t="s">
        <v>543</v>
      </c>
      <c r="O141" s="349" t="s">
        <v>182</v>
      </c>
      <c r="P141" s="279">
        <v>365.0</v>
      </c>
      <c r="Q141" s="349" t="s">
        <v>773</v>
      </c>
      <c r="R141" s="471">
        <f t="shared" si="1"/>
        <v>1</v>
      </c>
      <c r="S141" s="464">
        <v>45886.0</v>
      </c>
      <c r="T141" s="472">
        <v>45886.0</v>
      </c>
      <c r="U141" s="137" t="str">
        <f t="shared" si="2"/>
        <v>22 days</v>
      </c>
      <c r="V141" s="473">
        <v>45864.0</v>
      </c>
      <c r="W141" s="471" t="s">
        <v>775</v>
      </c>
      <c r="X141" s="349" t="s">
        <v>131</v>
      </c>
      <c r="Y141" s="279" t="s">
        <v>132</v>
      </c>
      <c r="Z141" s="192"/>
      <c r="AA141" s="474"/>
      <c r="AB141" s="136" t="b">
        <v>1</v>
      </c>
      <c r="AC141" s="136" t="b">
        <v>1</v>
      </c>
      <c r="AD141" s="136" t="b">
        <v>1</v>
      </c>
      <c r="AE141" s="136" t="b">
        <v>1</v>
      </c>
      <c r="AF141" s="136" t="b">
        <v>1</v>
      </c>
      <c r="AG141" s="475" t="b">
        <v>1</v>
      </c>
      <c r="AH141" s="530"/>
      <c r="AI141" s="326">
        <v>1.921557E8</v>
      </c>
      <c r="AJ141" s="326"/>
      <c r="AK141" s="297"/>
      <c r="AL141" s="297"/>
      <c r="AM141" s="297"/>
      <c r="AN141" s="297"/>
      <c r="AO141" s="296"/>
      <c r="AP141" s="296"/>
      <c r="AQ141" s="296"/>
      <c r="AR141" s="138" t="b">
        <v>0</v>
      </c>
      <c r="AS141" s="149" t="b">
        <v>0</v>
      </c>
      <c r="AT141" s="297"/>
      <c r="AU141" s="270"/>
      <c r="AV141" s="270"/>
    </row>
    <row r="142">
      <c r="A142" s="103"/>
      <c r="B142" s="554">
        <v>45888.0</v>
      </c>
      <c r="C142" s="555" t="s">
        <v>113</v>
      </c>
      <c r="D142" s="555" t="s">
        <v>114</v>
      </c>
      <c r="E142" s="556"/>
      <c r="F142" s="557" t="s">
        <v>153</v>
      </c>
      <c r="G142" s="557" t="s">
        <v>153</v>
      </c>
      <c r="H142" s="479"/>
      <c r="I142" s="558" t="s">
        <v>776</v>
      </c>
      <c r="J142" s="559" t="s">
        <v>146</v>
      </c>
      <c r="K142" s="560" t="s">
        <v>777</v>
      </c>
      <c r="L142" s="561" t="s">
        <v>778</v>
      </c>
      <c r="M142" s="562"/>
      <c r="N142" s="559" t="s">
        <v>261</v>
      </c>
      <c r="O142" s="559" t="s">
        <v>166</v>
      </c>
      <c r="P142" s="555">
        <v>15.0</v>
      </c>
      <c r="Q142" s="563" t="s">
        <v>779</v>
      </c>
      <c r="R142" s="471">
        <f t="shared" si="1"/>
        <v>2</v>
      </c>
      <c r="S142" s="564">
        <v>45888.0</v>
      </c>
      <c r="T142" s="565">
        <v>45889.0</v>
      </c>
      <c r="U142" s="566" t="str">
        <f t="shared" si="2"/>
        <v>3 days</v>
      </c>
      <c r="V142" s="567">
        <v>45885.0</v>
      </c>
      <c r="W142" s="471" t="s">
        <v>780</v>
      </c>
      <c r="X142" s="559" t="s">
        <v>131</v>
      </c>
      <c r="Y142" s="555" t="s">
        <v>132</v>
      </c>
      <c r="Z142" s="568"/>
      <c r="AA142" s="569"/>
      <c r="AB142" s="570" t="b">
        <v>1</v>
      </c>
      <c r="AC142" s="570" t="b">
        <v>1</v>
      </c>
      <c r="AD142" s="570" t="b">
        <v>1</v>
      </c>
      <c r="AE142" s="570" t="b">
        <v>1</v>
      </c>
      <c r="AF142" s="571" t="b">
        <v>0</v>
      </c>
      <c r="AG142" s="475" t="b">
        <v>0</v>
      </c>
      <c r="AH142" s="572"/>
      <c r="AI142" s="573">
        <v>3.1959675E7</v>
      </c>
      <c r="AJ142" s="574"/>
      <c r="AK142" s="559" t="s">
        <v>134</v>
      </c>
      <c r="AL142" s="559" t="s">
        <v>134</v>
      </c>
      <c r="AM142" s="559" t="s">
        <v>134</v>
      </c>
      <c r="AN142" s="559" t="s">
        <v>135</v>
      </c>
      <c r="AO142" s="575" t="s">
        <v>781</v>
      </c>
      <c r="AP142" s="576"/>
      <c r="AQ142" s="576"/>
      <c r="AR142" s="577" t="b">
        <v>1</v>
      </c>
      <c r="AS142" s="578" t="b">
        <v>0</v>
      </c>
      <c r="AT142" s="579"/>
      <c r="AU142" s="103"/>
      <c r="AV142" s="103"/>
    </row>
    <row r="143">
      <c r="A143" s="404"/>
      <c r="B143" s="580">
        <v>45888.0</v>
      </c>
      <c r="C143" s="581" t="s">
        <v>113</v>
      </c>
      <c r="D143" s="581" t="s">
        <v>136</v>
      </c>
      <c r="E143" s="579"/>
      <c r="F143" s="556" t="s">
        <v>115</v>
      </c>
      <c r="G143" s="556" t="s">
        <v>287</v>
      </c>
      <c r="H143" s="582"/>
      <c r="I143" s="579" t="s">
        <v>782</v>
      </c>
      <c r="J143" s="579" t="s">
        <v>118</v>
      </c>
      <c r="K143" s="583" t="s">
        <v>783</v>
      </c>
      <c r="L143" s="584"/>
      <c r="M143" s="585"/>
      <c r="N143" s="579" t="s">
        <v>182</v>
      </c>
      <c r="O143" s="579" t="s">
        <v>182</v>
      </c>
      <c r="P143" s="556">
        <v>2.0</v>
      </c>
      <c r="Q143" s="586" t="s">
        <v>415</v>
      </c>
      <c r="R143" s="471">
        <f t="shared" si="1"/>
        <v>2</v>
      </c>
      <c r="S143" s="564">
        <v>45888.0</v>
      </c>
      <c r="T143" s="565">
        <v>45889.0</v>
      </c>
      <c r="U143" s="566" t="str">
        <f t="shared" si="2"/>
        <v>0 days</v>
      </c>
      <c r="V143" s="587">
        <v>45888.0</v>
      </c>
      <c r="W143" s="471" t="s">
        <v>784</v>
      </c>
      <c r="X143" s="559" t="s">
        <v>131</v>
      </c>
      <c r="Y143" s="555" t="s">
        <v>132</v>
      </c>
      <c r="Z143" s="104"/>
      <c r="AA143" s="569"/>
      <c r="AB143" s="510" t="b">
        <v>1</v>
      </c>
      <c r="AC143" s="544" t="b">
        <v>0</v>
      </c>
      <c r="AD143" s="544" t="b">
        <v>0</v>
      </c>
      <c r="AE143" s="544" t="b">
        <v>0</v>
      </c>
      <c r="AF143" s="544" t="b">
        <v>0</v>
      </c>
      <c r="AG143" s="475" t="b">
        <v>0</v>
      </c>
      <c r="AH143" s="511"/>
      <c r="AI143" s="505">
        <v>6105000.0</v>
      </c>
      <c r="AJ143" s="107"/>
      <c r="AK143" s="512" t="s">
        <v>134</v>
      </c>
      <c r="AL143" s="512" t="s">
        <v>134</v>
      </c>
      <c r="AM143" s="512" t="s">
        <v>134</v>
      </c>
      <c r="AN143" s="559" t="s">
        <v>135</v>
      </c>
      <c r="AO143" s="576"/>
      <c r="AP143" s="576"/>
      <c r="AQ143" s="576"/>
      <c r="AR143" s="588" t="b">
        <v>0</v>
      </c>
      <c r="AS143" s="578" t="b">
        <v>0</v>
      </c>
      <c r="AT143" s="103"/>
      <c r="AU143" s="404"/>
      <c r="AV143" s="404"/>
    </row>
    <row r="144">
      <c r="A144" s="103"/>
      <c r="B144" s="250">
        <v>45833.0</v>
      </c>
      <c r="C144" s="251" t="s">
        <v>113</v>
      </c>
      <c r="D144" s="251" t="s">
        <v>250</v>
      </c>
      <c r="E144" s="404"/>
      <c r="F144" s="251" t="s">
        <v>115</v>
      </c>
      <c r="G144" s="251" t="s">
        <v>441</v>
      </c>
      <c r="H144" s="166"/>
      <c r="I144" s="392" t="s">
        <v>785</v>
      </c>
      <c r="J144" s="261" t="s">
        <v>146</v>
      </c>
      <c r="K144" s="411" t="s">
        <v>622</v>
      </c>
      <c r="L144" s="589" t="s">
        <v>623</v>
      </c>
      <c r="M144" s="521"/>
      <c r="N144" s="261" t="s">
        <v>119</v>
      </c>
      <c r="O144" s="261" t="s">
        <v>209</v>
      </c>
      <c r="P144" s="522">
        <v>160.0</v>
      </c>
      <c r="Q144" s="392" t="s">
        <v>601</v>
      </c>
      <c r="R144" s="471">
        <f t="shared" si="1"/>
        <v>1</v>
      </c>
      <c r="S144" s="464">
        <v>45889.0</v>
      </c>
      <c r="T144" s="465">
        <v>45889.0</v>
      </c>
      <c r="U144" s="162" t="str">
        <f t="shared" si="2"/>
        <v>56 days</v>
      </c>
      <c r="V144" s="466">
        <v>45833.0</v>
      </c>
      <c r="W144" s="471" t="s">
        <v>786</v>
      </c>
      <c r="X144" s="261" t="s">
        <v>131</v>
      </c>
      <c r="Y144" s="251" t="s">
        <v>132</v>
      </c>
      <c r="Z144" s="525"/>
      <c r="AA144" s="467"/>
      <c r="AB144" s="161" t="b">
        <v>1</v>
      </c>
      <c r="AC144" s="161" t="b">
        <v>1</v>
      </c>
      <c r="AD144" s="161" t="b">
        <v>1</v>
      </c>
      <c r="AE144" s="161" t="b">
        <v>1</v>
      </c>
      <c r="AF144" s="161" t="b">
        <v>1</v>
      </c>
      <c r="AG144" s="475" t="b">
        <v>0</v>
      </c>
      <c r="AH144" s="501"/>
      <c r="AI144" s="266">
        <f>750000*160</f>
        <v>120000000</v>
      </c>
      <c r="AJ144" s="266"/>
      <c r="AK144" s="251" t="s">
        <v>134</v>
      </c>
      <c r="AL144" s="251" t="s">
        <v>134</v>
      </c>
      <c r="AM144" s="251" t="s">
        <v>134</v>
      </c>
      <c r="AN144" s="251" t="s">
        <v>135</v>
      </c>
      <c r="AO144" s="403"/>
      <c r="AP144" s="403"/>
      <c r="AQ144" s="403"/>
      <c r="AR144" s="161" t="b">
        <v>0</v>
      </c>
      <c r="AS144" s="465" t="b">
        <v>0</v>
      </c>
      <c r="AT144" s="404"/>
      <c r="AU144" s="103"/>
      <c r="AV144" s="103"/>
    </row>
    <row r="145">
      <c r="A145" s="404"/>
      <c r="B145" s="250">
        <v>45876.0</v>
      </c>
      <c r="C145" s="251" t="s">
        <v>113</v>
      </c>
      <c r="D145" s="251" t="s">
        <v>250</v>
      </c>
      <c r="E145" s="270"/>
      <c r="F145" s="251" t="s">
        <v>170</v>
      </c>
      <c r="G145" s="251" t="s">
        <v>170</v>
      </c>
      <c r="H145" s="166"/>
      <c r="I145" s="261" t="s">
        <v>787</v>
      </c>
      <c r="J145" s="261" t="s">
        <v>118</v>
      </c>
      <c r="K145" s="255" t="s">
        <v>788</v>
      </c>
      <c r="L145" s="256" t="s">
        <v>789</v>
      </c>
      <c r="M145" s="590"/>
      <c r="N145" s="261" t="s">
        <v>182</v>
      </c>
      <c r="O145" s="261" t="s">
        <v>182</v>
      </c>
      <c r="P145" s="251">
        <v>1.0</v>
      </c>
      <c r="Q145" s="261" t="s">
        <v>616</v>
      </c>
      <c r="R145" s="471">
        <f t="shared" si="1"/>
        <v>2</v>
      </c>
      <c r="S145" s="464">
        <v>45889.0</v>
      </c>
      <c r="T145" s="465">
        <v>45890.0</v>
      </c>
      <c r="U145" s="162" t="str">
        <f t="shared" si="2"/>
        <v>13 days</v>
      </c>
      <c r="V145" s="466">
        <v>45876.0</v>
      </c>
      <c r="W145" s="471" t="s">
        <v>790</v>
      </c>
      <c r="X145" s="512" t="s">
        <v>131</v>
      </c>
      <c r="Y145" s="506" t="s">
        <v>132</v>
      </c>
      <c r="Z145" s="441"/>
      <c r="AA145" s="591"/>
      <c r="AB145" s="570" t="b">
        <v>1</v>
      </c>
      <c r="AC145" s="570" t="b">
        <v>1</v>
      </c>
      <c r="AD145" s="570" t="b">
        <v>1</v>
      </c>
      <c r="AE145" s="570" t="b">
        <v>1</v>
      </c>
      <c r="AF145" s="570" t="b">
        <v>1</v>
      </c>
      <c r="AG145" s="475" t="b">
        <v>1</v>
      </c>
      <c r="AH145" s="592"/>
      <c r="AI145" s="266">
        <v>1.456653E8</v>
      </c>
      <c r="AJ145" s="266"/>
      <c r="AK145" s="402"/>
      <c r="AL145" s="402"/>
      <c r="AM145" s="441"/>
      <c r="AN145" s="270"/>
      <c r="AO145" s="269"/>
      <c r="AP145" s="269"/>
      <c r="AQ145" s="269"/>
      <c r="AR145" s="161" t="b">
        <v>0</v>
      </c>
      <c r="AS145" s="465" t="b">
        <v>0</v>
      </c>
      <c r="AT145" s="270"/>
      <c r="AU145" s="404"/>
      <c r="AV145" s="404"/>
    </row>
    <row r="146">
      <c r="A146" s="103"/>
      <c r="B146" s="477">
        <v>45888.0</v>
      </c>
      <c r="C146" s="506" t="s">
        <v>113</v>
      </c>
      <c r="D146" s="506" t="s">
        <v>136</v>
      </c>
      <c r="E146" s="106"/>
      <c r="F146" s="478" t="s">
        <v>115</v>
      </c>
      <c r="G146" s="478" t="s">
        <v>162</v>
      </c>
      <c r="H146" s="479"/>
      <c r="I146" s="593" t="s">
        <v>791</v>
      </c>
      <c r="J146" s="480" t="s">
        <v>118</v>
      </c>
      <c r="K146" s="461" t="s">
        <v>792</v>
      </c>
      <c r="L146" s="461"/>
      <c r="M146" s="497"/>
      <c r="N146" s="480" t="s">
        <v>182</v>
      </c>
      <c r="O146" s="480" t="s">
        <v>182</v>
      </c>
      <c r="P146" s="106">
        <v>1.0</v>
      </c>
      <c r="Q146" s="495" t="s">
        <v>415</v>
      </c>
      <c r="R146" s="471">
        <f t="shared" si="1"/>
        <v>2</v>
      </c>
      <c r="S146" s="502">
        <v>45890.0</v>
      </c>
      <c r="T146" s="484">
        <v>45891.0</v>
      </c>
      <c r="U146" s="485" t="str">
        <f t="shared" si="2"/>
        <v>2 days</v>
      </c>
      <c r="V146" s="486">
        <v>45888.0</v>
      </c>
      <c r="W146" s="471" t="s">
        <v>793</v>
      </c>
      <c r="X146" s="480" t="s">
        <v>131</v>
      </c>
      <c r="Y146" s="478" t="s">
        <v>132</v>
      </c>
      <c r="Z146" s="508"/>
      <c r="AA146" s="509"/>
      <c r="AB146" s="510" t="b">
        <v>1</v>
      </c>
      <c r="AC146" s="510" t="b">
        <v>1</v>
      </c>
      <c r="AD146" s="510" t="b">
        <v>1</v>
      </c>
      <c r="AE146" s="510" t="b">
        <v>1</v>
      </c>
      <c r="AF146" s="510" t="b">
        <v>1</v>
      </c>
      <c r="AG146" s="475" t="b">
        <v>0</v>
      </c>
      <c r="AH146" s="511"/>
      <c r="AI146" s="505">
        <v>8902200.0</v>
      </c>
      <c r="AJ146" s="505">
        <f>AI146</f>
        <v>8902200</v>
      </c>
      <c r="AK146" s="512" t="s">
        <v>134</v>
      </c>
      <c r="AL146" s="512" t="s">
        <v>134</v>
      </c>
      <c r="AM146" s="512" t="s">
        <v>134</v>
      </c>
      <c r="AN146" s="478" t="s">
        <v>135</v>
      </c>
      <c r="AO146" s="499"/>
      <c r="AP146" s="499"/>
      <c r="AQ146" s="499"/>
      <c r="AR146" s="490" t="b">
        <v>0</v>
      </c>
      <c r="AS146" s="484" t="b">
        <v>0</v>
      </c>
      <c r="AT146" s="103"/>
      <c r="AU146" s="103"/>
      <c r="AV146" s="103"/>
    </row>
    <row r="147">
      <c r="A147" s="404"/>
      <c r="B147" s="413">
        <v>45894.0</v>
      </c>
      <c r="C147" s="414" t="s">
        <v>113</v>
      </c>
      <c r="D147" s="414" t="s">
        <v>114</v>
      </c>
      <c r="E147" s="594"/>
      <c r="F147" s="387" t="s">
        <v>153</v>
      </c>
      <c r="G147" s="387" t="s">
        <v>153</v>
      </c>
      <c r="H147" s="166"/>
      <c r="I147" s="595" t="s">
        <v>776</v>
      </c>
      <c r="J147" s="436" t="s">
        <v>146</v>
      </c>
      <c r="K147" s="596" t="s">
        <v>777</v>
      </c>
      <c r="L147" s="597" t="s">
        <v>778</v>
      </c>
      <c r="M147" s="569"/>
      <c r="N147" s="436" t="s">
        <v>261</v>
      </c>
      <c r="O147" s="436" t="s">
        <v>166</v>
      </c>
      <c r="P147" s="414">
        <v>15.0</v>
      </c>
      <c r="Q147" s="425" t="s">
        <v>794</v>
      </c>
      <c r="R147" s="471">
        <f t="shared" si="1"/>
        <v>2</v>
      </c>
      <c r="S147" s="564">
        <v>45894.0</v>
      </c>
      <c r="T147" s="598">
        <v>45895.0</v>
      </c>
      <c r="U147" s="428" t="str">
        <f t="shared" si="2"/>
        <v>9 days</v>
      </c>
      <c r="V147" s="599">
        <v>45885.0</v>
      </c>
      <c r="W147" s="471" t="s">
        <v>795</v>
      </c>
      <c r="X147" s="436" t="s">
        <v>131</v>
      </c>
      <c r="Y147" s="414" t="s">
        <v>132</v>
      </c>
      <c r="Z147" s="568"/>
      <c r="AA147" s="569"/>
      <c r="AB147" s="570" t="b">
        <v>1</v>
      </c>
      <c r="AC147" s="570" t="b">
        <v>1</v>
      </c>
      <c r="AD147" s="570" t="b">
        <v>1</v>
      </c>
      <c r="AE147" s="570" t="b">
        <v>1</v>
      </c>
      <c r="AF147" s="571" t="b">
        <v>0</v>
      </c>
      <c r="AG147" s="475" t="b">
        <v>0</v>
      </c>
      <c r="AH147" s="572"/>
      <c r="AI147" s="600">
        <v>3.778995E7</v>
      </c>
      <c r="AJ147" s="435"/>
      <c r="AK147" s="436" t="s">
        <v>134</v>
      </c>
      <c r="AL147" s="436" t="s">
        <v>134</v>
      </c>
      <c r="AM147" s="436" t="s">
        <v>134</v>
      </c>
      <c r="AN147" s="436" t="s">
        <v>135</v>
      </c>
      <c r="AO147" s="601" t="s">
        <v>796</v>
      </c>
      <c r="AP147" s="438"/>
      <c r="AQ147" s="438"/>
      <c r="AR147" s="570" t="b">
        <v>1</v>
      </c>
      <c r="AS147" s="602" t="b">
        <v>0</v>
      </c>
      <c r="AT147" s="441"/>
      <c r="AU147" s="404"/>
      <c r="AV147" s="404"/>
    </row>
    <row r="148">
      <c r="A148" s="383"/>
      <c r="B148" s="250">
        <v>45867.0</v>
      </c>
      <c r="C148" s="251" t="s">
        <v>113</v>
      </c>
      <c r="D148" s="252" t="s">
        <v>250</v>
      </c>
      <c r="E148" s="253"/>
      <c r="F148" s="251" t="s">
        <v>115</v>
      </c>
      <c r="G148" s="252" t="s">
        <v>162</v>
      </c>
      <c r="H148" s="166"/>
      <c r="I148" s="254" t="s">
        <v>797</v>
      </c>
      <c r="J148" s="254" t="s">
        <v>118</v>
      </c>
      <c r="K148" s="255" t="s">
        <v>798</v>
      </c>
      <c r="L148" s="255"/>
      <c r="M148" s="257"/>
      <c r="N148" s="258" t="s">
        <v>119</v>
      </c>
      <c r="O148" s="259" t="s">
        <v>120</v>
      </c>
      <c r="P148" s="253">
        <v>70.0</v>
      </c>
      <c r="Q148" s="261" t="s">
        <v>799</v>
      </c>
      <c r="R148" s="175">
        <f t="shared" si="1"/>
        <v>1</v>
      </c>
      <c r="S148" s="148">
        <v>45895.0</v>
      </c>
      <c r="T148" s="242">
        <v>45895.0</v>
      </c>
      <c r="U148" s="162" t="str">
        <f t="shared" si="2"/>
        <v>28 days</v>
      </c>
      <c r="V148" s="262">
        <v>45867.0</v>
      </c>
      <c r="W148" s="175" t="s">
        <v>800</v>
      </c>
      <c r="X148" s="259" t="s">
        <v>131</v>
      </c>
      <c r="Y148" s="263" t="s">
        <v>132</v>
      </c>
      <c r="Z148" s="172"/>
      <c r="AA148" s="264"/>
      <c r="AB148" s="162" t="b">
        <v>1</v>
      </c>
      <c r="AC148" s="175" t="b">
        <v>1</v>
      </c>
      <c r="AD148" s="272" t="b">
        <v>0</v>
      </c>
      <c r="AE148" s="180" t="b">
        <v>0</v>
      </c>
      <c r="AF148" s="181" t="b">
        <v>0</v>
      </c>
      <c r="AG148" s="180" t="b">
        <v>0</v>
      </c>
      <c r="AH148" s="166"/>
      <c r="AI148" s="265">
        <v>2.50416E7</v>
      </c>
      <c r="AJ148" s="266">
        <f>AI148</f>
        <v>25041600</v>
      </c>
      <c r="AK148" s="251" t="s">
        <v>134</v>
      </c>
      <c r="AL148" s="251" t="s">
        <v>134</v>
      </c>
      <c r="AM148" s="251" t="s">
        <v>134</v>
      </c>
      <c r="AN148" s="267" t="s">
        <v>135</v>
      </c>
      <c r="AO148" s="269"/>
      <c r="AP148" s="269"/>
      <c r="AQ148" s="269"/>
      <c r="AR148" s="163" t="b">
        <v>0</v>
      </c>
      <c r="AS148" s="186" t="b">
        <v>0</v>
      </c>
      <c r="AT148" s="270"/>
      <c r="AU148" s="297"/>
      <c r="AV148" s="297"/>
    </row>
    <row r="149">
      <c r="A149" s="404"/>
      <c r="B149" s="250">
        <v>45833.0</v>
      </c>
      <c r="C149" s="251" t="s">
        <v>113</v>
      </c>
      <c r="D149" s="251" t="s">
        <v>250</v>
      </c>
      <c r="E149" s="404"/>
      <c r="F149" s="251" t="s">
        <v>115</v>
      </c>
      <c r="G149" s="251" t="s">
        <v>441</v>
      </c>
      <c r="H149" s="166"/>
      <c r="I149" s="392" t="s">
        <v>801</v>
      </c>
      <c r="J149" s="261" t="s">
        <v>146</v>
      </c>
      <c r="K149" s="589" t="s">
        <v>622</v>
      </c>
      <c r="L149" s="589" t="s">
        <v>623</v>
      </c>
      <c r="M149" s="521"/>
      <c r="N149" s="261" t="s">
        <v>119</v>
      </c>
      <c r="O149" s="261" t="s">
        <v>209</v>
      </c>
      <c r="P149" s="522">
        <v>160.0</v>
      </c>
      <c r="Q149" s="392" t="s">
        <v>601</v>
      </c>
      <c r="R149" s="471">
        <f t="shared" si="1"/>
        <v>1</v>
      </c>
      <c r="S149" s="464">
        <v>45896.0</v>
      </c>
      <c r="T149" s="465">
        <v>45896.0</v>
      </c>
      <c r="U149" s="162" t="str">
        <f t="shared" si="2"/>
        <v>63 days</v>
      </c>
      <c r="V149" s="466">
        <v>45833.0</v>
      </c>
      <c r="W149" s="471" t="s">
        <v>802</v>
      </c>
      <c r="X149" s="261" t="s">
        <v>131</v>
      </c>
      <c r="Y149" s="251" t="s">
        <v>132</v>
      </c>
      <c r="Z149" s="525"/>
      <c r="AA149" s="467"/>
      <c r="AB149" s="161" t="b">
        <v>0</v>
      </c>
      <c r="AC149" s="161" t="b">
        <v>0</v>
      </c>
      <c r="AD149" s="161" t="b">
        <v>0</v>
      </c>
      <c r="AE149" s="161" t="b">
        <v>0</v>
      </c>
      <c r="AF149" s="161" t="b">
        <v>0</v>
      </c>
      <c r="AG149" s="475" t="b">
        <v>0</v>
      </c>
      <c r="AH149" s="501"/>
      <c r="AI149" s="266">
        <f>750000*100</f>
        <v>75000000</v>
      </c>
      <c r="AJ149" s="266"/>
      <c r="AK149" s="251" t="s">
        <v>134</v>
      </c>
      <c r="AL149" s="251" t="s">
        <v>134</v>
      </c>
      <c r="AM149" s="251" t="s">
        <v>134</v>
      </c>
      <c r="AN149" s="251" t="s">
        <v>135</v>
      </c>
      <c r="AO149" s="403"/>
      <c r="AP149" s="403"/>
      <c r="AQ149" s="403"/>
      <c r="AR149" s="161" t="b">
        <v>0</v>
      </c>
      <c r="AS149" s="465" t="b">
        <v>0</v>
      </c>
      <c r="AT149" s="404"/>
      <c r="AU149" s="404"/>
      <c r="AV149" s="404"/>
    </row>
    <row r="150">
      <c r="A150" s="103"/>
      <c r="B150" s="250">
        <v>45800.0</v>
      </c>
      <c r="C150" s="251" t="s">
        <v>113</v>
      </c>
      <c r="D150" s="251" t="s">
        <v>136</v>
      </c>
      <c r="E150" s="270"/>
      <c r="F150" s="251" t="s">
        <v>115</v>
      </c>
      <c r="G150" s="251" t="s">
        <v>162</v>
      </c>
      <c r="H150" s="166"/>
      <c r="I150" s="261" t="s">
        <v>803</v>
      </c>
      <c r="J150" s="261" t="s">
        <v>118</v>
      </c>
      <c r="K150" s="461" t="s">
        <v>804</v>
      </c>
      <c r="L150" s="603"/>
      <c r="M150" s="463"/>
      <c r="N150" s="261" t="s">
        <v>119</v>
      </c>
      <c r="O150" s="261" t="s">
        <v>120</v>
      </c>
      <c r="P150" s="251">
        <v>31.0</v>
      </c>
      <c r="Q150" s="261" t="s">
        <v>415</v>
      </c>
      <c r="R150" s="471">
        <f t="shared" si="1"/>
        <v>1</v>
      </c>
      <c r="S150" s="464">
        <v>45898.0</v>
      </c>
      <c r="T150" s="465">
        <v>45898.0</v>
      </c>
      <c r="U150" s="162" t="str">
        <f t="shared" si="2"/>
        <v>78 days</v>
      </c>
      <c r="V150" s="466">
        <v>45820.0</v>
      </c>
      <c r="W150" s="471" t="s">
        <v>805</v>
      </c>
      <c r="X150" s="261" t="s">
        <v>29</v>
      </c>
      <c r="Y150" s="251" t="s">
        <v>29</v>
      </c>
      <c r="Z150" s="174"/>
      <c r="AA150" s="467"/>
      <c r="AB150" s="161" t="b">
        <v>1</v>
      </c>
      <c r="AC150" s="161" t="b">
        <v>1</v>
      </c>
      <c r="AD150" s="468" t="b">
        <v>0</v>
      </c>
      <c r="AE150" s="468" t="b">
        <v>0</v>
      </c>
      <c r="AF150" s="468" t="b">
        <v>0</v>
      </c>
      <c r="AG150" s="475" t="b">
        <v>0</v>
      </c>
      <c r="AH150" s="501"/>
      <c r="AI150" s="266">
        <v>1.6872E7</v>
      </c>
      <c r="AJ150" s="266"/>
      <c r="AK150" s="270"/>
      <c r="AL150" s="270"/>
      <c r="AM150" s="270"/>
      <c r="AN150" s="270"/>
      <c r="AO150" s="269"/>
      <c r="AP150" s="269"/>
      <c r="AQ150" s="269"/>
      <c r="AR150" s="161" t="b">
        <v>0</v>
      </c>
      <c r="AS150" s="465" t="b">
        <v>0</v>
      </c>
      <c r="AT150" s="270"/>
      <c r="AU150" s="103"/>
      <c r="AV150" s="103"/>
    </row>
    <row r="151">
      <c r="A151" s="404"/>
      <c r="B151" s="250">
        <v>45859.0</v>
      </c>
      <c r="C151" s="251" t="s">
        <v>113</v>
      </c>
      <c r="D151" s="251" t="s">
        <v>652</v>
      </c>
      <c r="E151" s="404"/>
      <c r="F151" s="251" t="s">
        <v>764</v>
      </c>
      <c r="G151" s="251" t="s">
        <v>162</v>
      </c>
      <c r="H151" s="166"/>
      <c r="I151" s="392" t="s">
        <v>806</v>
      </c>
      <c r="J151" s="261" t="s">
        <v>118</v>
      </c>
      <c r="K151" s="461" t="s">
        <v>807</v>
      </c>
      <c r="L151" s="520"/>
      <c r="M151" s="521"/>
      <c r="N151" s="261" t="s">
        <v>119</v>
      </c>
      <c r="O151" s="261" t="s">
        <v>166</v>
      </c>
      <c r="P151" s="522">
        <v>92.0</v>
      </c>
      <c r="Q151" s="392" t="s">
        <v>808</v>
      </c>
      <c r="R151" s="471">
        <f t="shared" si="1"/>
        <v>2</v>
      </c>
      <c r="S151" s="502">
        <v>45898.0</v>
      </c>
      <c r="T151" s="523">
        <v>45899.0</v>
      </c>
      <c r="U151" s="162" t="str">
        <f t="shared" si="2"/>
        <v>37 days</v>
      </c>
      <c r="V151" s="524">
        <v>45861.0</v>
      </c>
      <c r="W151" s="471" t="s">
        <v>809</v>
      </c>
      <c r="X151" s="261" t="s">
        <v>131</v>
      </c>
      <c r="Y151" s="251" t="s">
        <v>132</v>
      </c>
      <c r="Z151" s="525"/>
      <c r="AA151" s="467"/>
      <c r="AB151" s="161" t="b">
        <v>1</v>
      </c>
      <c r="AC151" s="161" t="b">
        <v>1</v>
      </c>
      <c r="AD151" s="161" t="b">
        <v>0</v>
      </c>
      <c r="AE151" s="161" t="b">
        <v>0</v>
      </c>
      <c r="AF151" s="161" t="b">
        <v>0</v>
      </c>
      <c r="AG151" s="475" t="b">
        <v>0</v>
      </c>
      <c r="AH151" s="526"/>
      <c r="AI151" s="401">
        <v>4.82589261E8</v>
      </c>
      <c r="AJ151" s="401"/>
      <c r="AK151" s="251" t="s">
        <v>134</v>
      </c>
      <c r="AL151" s="251" t="s">
        <v>134</v>
      </c>
      <c r="AM151" s="251" t="s">
        <v>134</v>
      </c>
      <c r="AN151" s="251" t="s">
        <v>135</v>
      </c>
      <c r="AO151" s="403"/>
      <c r="AP151" s="403"/>
      <c r="AQ151" s="403"/>
      <c r="AR151" s="161" t="b">
        <v>1</v>
      </c>
      <c r="AS151" s="465" t="b">
        <v>0</v>
      </c>
      <c r="AT151" s="404"/>
      <c r="AU151" s="404"/>
      <c r="AV151" s="404"/>
    </row>
    <row r="152">
      <c r="A152" s="103"/>
      <c r="B152" s="477">
        <v>45874.0</v>
      </c>
      <c r="C152" s="478" t="s">
        <v>113</v>
      </c>
      <c r="D152" s="478" t="s">
        <v>136</v>
      </c>
      <c r="E152" s="478"/>
      <c r="F152" s="478" t="s">
        <v>115</v>
      </c>
      <c r="G152" s="478" t="s">
        <v>162</v>
      </c>
      <c r="H152" s="479"/>
      <c r="I152" s="480" t="s">
        <v>810</v>
      </c>
      <c r="J152" s="480" t="s">
        <v>118</v>
      </c>
      <c r="K152" s="481" t="s">
        <v>811</v>
      </c>
      <c r="L152" s="481"/>
      <c r="M152" s="483"/>
      <c r="N152" s="480" t="s">
        <v>119</v>
      </c>
      <c r="O152" s="480" t="s">
        <v>120</v>
      </c>
      <c r="P152" s="478">
        <v>15.0</v>
      </c>
      <c r="Q152" s="480" t="s">
        <v>415</v>
      </c>
      <c r="R152" s="471">
        <f t="shared" si="1"/>
        <v>1</v>
      </c>
      <c r="S152" s="464">
        <v>45898.0</v>
      </c>
      <c r="T152" s="484">
        <v>45898.0</v>
      </c>
      <c r="U152" s="485" t="str">
        <f t="shared" si="2"/>
        <v>24 days</v>
      </c>
      <c r="V152" s="486">
        <v>45874.0</v>
      </c>
      <c r="W152" s="471" t="s">
        <v>812</v>
      </c>
      <c r="X152" s="480" t="s">
        <v>29</v>
      </c>
      <c r="Y152" s="478" t="s">
        <v>29</v>
      </c>
      <c r="Z152" s="488"/>
      <c r="AA152" s="489"/>
      <c r="AB152" s="490" t="b">
        <v>1</v>
      </c>
      <c r="AC152" s="490" t="b">
        <v>1</v>
      </c>
      <c r="AD152" s="527" t="b">
        <v>0</v>
      </c>
      <c r="AE152" s="490" t="b">
        <v>0</v>
      </c>
      <c r="AF152" s="527" t="b">
        <v>0</v>
      </c>
      <c r="AG152" s="475" t="b">
        <v>0</v>
      </c>
      <c r="AH152" s="498"/>
      <c r="AI152" s="491">
        <v>1.11E7</v>
      </c>
      <c r="AJ152" s="491"/>
      <c r="AK152" s="476"/>
      <c r="AL152" s="476"/>
      <c r="AM152" s="476"/>
      <c r="AN152" s="476"/>
      <c r="AO152" s="492"/>
      <c r="AP152" s="492"/>
      <c r="AQ152" s="492"/>
      <c r="AR152" s="490" t="b">
        <v>0</v>
      </c>
      <c r="AS152" s="484" t="b">
        <v>0</v>
      </c>
      <c r="AT152" s="476"/>
      <c r="AU152" s="103"/>
      <c r="AV152" s="103"/>
    </row>
    <row r="153">
      <c r="A153" s="404"/>
      <c r="B153" s="250">
        <v>45843.0</v>
      </c>
      <c r="C153" s="251" t="s">
        <v>113</v>
      </c>
      <c r="D153" s="251" t="s">
        <v>250</v>
      </c>
      <c r="E153" s="270"/>
      <c r="F153" s="251" t="s">
        <v>170</v>
      </c>
      <c r="G153" s="251" t="s">
        <v>170</v>
      </c>
      <c r="H153" s="166"/>
      <c r="I153" s="261" t="s">
        <v>813</v>
      </c>
      <c r="J153" s="261" t="s">
        <v>118</v>
      </c>
      <c r="K153" s="255" t="s">
        <v>788</v>
      </c>
      <c r="L153" s="256" t="s">
        <v>789</v>
      </c>
      <c r="M153" s="463"/>
      <c r="N153" s="261" t="s">
        <v>543</v>
      </c>
      <c r="O153" s="261" t="s">
        <v>166</v>
      </c>
      <c r="P153" s="251">
        <v>540.0</v>
      </c>
      <c r="Q153" s="261" t="s">
        <v>814</v>
      </c>
      <c r="R153" s="471">
        <f t="shared" si="1"/>
        <v>1</v>
      </c>
      <c r="S153" s="464">
        <v>45899.0</v>
      </c>
      <c r="T153" s="465">
        <v>45899.0</v>
      </c>
      <c r="U153" s="162" t="str">
        <f t="shared" si="2"/>
        <v>56 days</v>
      </c>
      <c r="V153" s="466">
        <v>45843.0</v>
      </c>
      <c r="W153" s="471" t="s">
        <v>815</v>
      </c>
      <c r="X153" s="261" t="s">
        <v>29</v>
      </c>
      <c r="Y153" s="251" t="s">
        <v>29</v>
      </c>
      <c r="Z153" s="174"/>
      <c r="AA153" s="518" t="s">
        <v>225</v>
      </c>
      <c r="AB153" s="161" t="b">
        <v>0</v>
      </c>
      <c r="AC153" s="161" t="b">
        <v>0</v>
      </c>
      <c r="AD153" s="161" t="b">
        <v>0</v>
      </c>
      <c r="AE153" s="161" t="b">
        <v>0</v>
      </c>
      <c r="AF153" s="161" t="b">
        <v>0</v>
      </c>
      <c r="AG153" s="475" t="b">
        <v>0</v>
      </c>
      <c r="AH153" s="501"/>
      <c r="AI153" s="266">
        <v>4.65201E8</v>
      </c>
      <c r="AJ153" s="266"/>
      <c r="AK153" s="270"/>
      <c r="AL153" s="270"/>
      <c r="AM153" s="270"/>
      <c r="AN153" s="270"/>
      <c r="AO153" s="269"/>
      <c r="AP153" s="269"/>
      <c r="AQ153" s="269"/>
      <c r="AR153" s="163" t="b">
        <v>0</v>
      </c>
      <c r="AS153" s="186" t="b">
        <v>0</v>
      </c>
      <c r="AT153" s="270"/>
      <c r="AU153" s="270"/>
      <c r="AV153" s="270"/>
    </row>
    <row r="154">
      <c r="A154" s="103"/>
      <c r="B154" s="250">
        <v>45802.0</v>
      </c>
      <c r="C154" s="251" t="s">
        <v>113</v>
      </c>
      <c r="D154" s="251" t="s">
        <v>136</v>
      </c>
      <c r="E154" s="270"/>
      <c r="F154" s="251" t="s">
        <v>115</v>
      </c>
      <c r="G154" s="251" t="s">
        <v>162</v>
      </c>
      <c r="H154" s="166"/>
      <c r="I154" s="261" t="s">
        <v>816</v>
      </c>
      <c r="J154" s="261" t="s">
        <v>118</v>
      </c>
      <c r="K154" s="255" t="s">
        <v>817</v>
      </c>
      <c r="L154" s="551"/>
      <c r="M154" s="463"/>
      <c r="N154" s="261" t="s">
        <v>119</v>
      </c>
      <c r="O154" s="261" t="s">
        <v>120</v>
      </c>
      <c r="P154" s="251">
        <v>150.0</v>
      </c>
      <c r="Q154" s="261" t="s">
        <v>415</v>
      </c>
      <c r="R154" s="471">
        <f t="shared" si="1"/>
        <v>1</v>
      </c>
      <c r="S154" s="464">
        <v>45901.0</v>
      </c>
      <c r="T154" s="465">
        <v>45901.0</v>
      </c>
      <c r="U154" s="162" t="str">
        <f t="shared" si="2"/>
        <v>74 days</v>
      </c>
      <c r="V154" s="466">
        <v>45827.0</v>
      </c>
      <c r="W154" s="471" t="s">
        <v>818</v>
      </c>
      <c r="X154" s="261" t="s">
        <v>29</v>
      </c>
      <c r="Y154" s="251" t="s">
        <v>29</v>
      </c>
      <c r="Z154" s="174"/>
      <c r="AA154" s="467"/>
      <c r="AB154" s="161" t="b">
        <v>1</v>
      </c>
      <c r="AC154" s="161" t="b">
        <v>1</v>
      </c>
      <c r="AD154" s="468" t="b">
        <v>0</v>
      </c>
      <c r="AE154" s="468" t="b">
        <v>0</v>
      </c>
      <c r="AF154" s="468" t="b">
        <v>0</v>
      </c>
      <c r="AG154" s="475" t="b">
        <v>0</v>
      </c>
      <c r="AH154" s="501"/>
      <c r="AI154" s="266">
        <v>9.4017E7</v>
      </c>
      <c r="AJ154" s="266"/>
      <c r="AK154" s="270"/>
      <c r="AL154" s="270"/>
      <c r="AM154" s="270"/>
      <c r="AN154" s="270"/>
      <c r="AO154" s="269"/>
      <c r="AP154" s="269"/>
      <c r="AQ154" s="269"/>
      <c r="AR154" s="163" t="b">
        <v>0</v>
      </c>
      <c r="AS154" s="186" t="b">
        <v>0</v>
      </c>
      <c r="AT154" s="270"/>
      <c r="AU154" s="476"/>
      <c r="AV154" s="476"/>
    </row>
    <row r="155">
      <c r="A155" s="404"/>
      <c r="B155" s="477">
        <v>45861.0</v>
      </c>
      <c r="C155" s="478" t="s">
        <v>113</v>
      </c>
      <c r="D155" s="604" t="s">
        <v>114</v>
      </c>
      <c r="E155" s="476"/>
      <c r="F155" s="478" t="s">
        <v>170</v>
      </c>
      <c r="G155" s="478" t="s">
        <v>170</v>
      </c>
      <c r="H155" s="479"/>
      <c r="I155" s="605" t="s">
        <v>819</v>
      </c>
      <c r="J155" s="480" t="s">
        <v>118</v>
      </c>
      <c r="K155" s="606" t="s">
        <v>820</v>
      </c>
      <c r="L155" s="607" t="s">
        <v>821</v>
      </c>
      <c r="M155" s="483"/>
      <c r="N155" s="605" t="s">
        <v>119</v>
      </c>
      <c r="O155" s="605" t="s">
        <v>209</v>
      </c>
      <c r="P155" s="604">
        <v>90.0</v>
      </c>
      <c r="Q155" s="605" t="s">
        <v>822</v>
      </c>
      <c r="R155" s="471">
        <f t="shared" si="1"/>
        <v>-29</v>
      </c>
      <c r="S155" s="515">
        <v>45901.0</v>
      </c>
      <c r="T155" s="608">
        <v>45871.0</v>
      </c>
      <c r="U155" s="485" t="str">
        <f t="shared" si="2"/>
        <v>40 days</v>
      </c>
      <c r="V155" s="609">
        <v>45861.0</v>
      </c>
      <c r="W155" s="471" t="s">
        <v>823</v>
      </c>
      <c r="X155" s="480" t="s">
        <v>29</v>
      </c>
      <c r="Y155" s="478" t="s">
        <v>29</v>
      </c>
      <c r="Z155" s="488"/>
      <c r="AA155" s="489"/>
      <c r="AB155" s="490" t="b">
        <v>0</v>
      </c>
      <c r="AC155" s="490" t="b">
        <v>0</v>
      </c>
      <c r="AD155" s="490" t="b">
        <v>0</v>
      </c>
      <c r="AE155" s="490" t="b">
        <v>0</v>
      </c>
      <c r="AF155" s="490" t="b">
        <v>0</v>
      </c>
      <c r="AG155" s="475" t="b">
        <v>0</v>
      </c>
      <c r="AH155" s="498"/>
      <c r="AI155" s="610">
        <v>1.890108E8</v>
      </c>
      <c r="AJ155" s="610"/>
      <c r="AK155" s="476"/>
      <c r="AL155" s="476"/>
      <c r="AM155" s="476"/>
      <c r="AN155" s="476"/>
      <c r="AO155" s="492"/>
      <c r="AP155" s="492"/>
      <c r="AQ155" s="492"/>
      <c r="AR155" s="493" t="b">
        <v>0</v>
      </c>
      <c r="AS155" s="494" t="b">
        <v>0</v>
      </c>
      <c r="AT155" s="476"/>
      <c r="AU155" s="270"/>
      <c r="AV155" s="270"/>
    </row>
    <row r="156">
      <c r="A156" s="383"/>
      <c r="B156" s="250">
        <v>45869.0</v>
      </c>
      <c r="C156" s="251" t="s">
        <v>113</v>
      </c>
      <c r="D156" s="252" t="s">
        <v>136</v>
      </c>
      <c r="E156" s="253"/>
      <c r="F156" s="251" t="s">
        <v>115</v>
      </c>
      <c r="G156" s="252" t="s">
        <v>162</v>
      </c>
      <c r="H156" s="166"/>
      <c r="I156" s="254" t="s">
        <v>824</v>
      </c>
      <c r="J156" s="254" t="s">
        <v>118</v>
      </c>
      <c r="K156" s="255" t="s">
        <v>825</v>
      </c>
      <c r="L156" s="255"/>
      <c r="M156" s="257"/>
      <c r="N156" s="258" t="s">
        <v>119</v>
      </c>
      <c r="O156" s="259" t="s">
        <v>120</v>
      </c>
      <c r="P156" s="253">
        <v>40.0</v>
      </c>
      <c r="Q156" s="261" t="s">
        <v>415</v>
      </c>
      <c r="R156" s="175">
        <f t="shared" si="1"/>
        <v>1</v>
      </c>
      <c r="S156" s="148">
        <v>45901.0</v>
      </c>
      <c r="T156" s="242">
        <v>45901.0</v>
      </c>
      <c r="U156" s="162" t="str">
        <f t="shared" si="2"/>
        <v>34 days</v>
      </c>
      <c r="V156" s="262">
        <v>45867.0</v>
      </c>
      <c r="W156" s="175" t="s">
        <v>826</v>
      </c>
      <c r="X156" s="259" t="s">
        <v>29</v>
      </c>
      <c r="Y156" s="263" t="s">
        <v>29</v>
      </c>
      <c r="Z156" s="172"/>
      <c r="AA156" s="264"/>
      <c r="AB156" s="162" t="b">
        <v>1</v>
      </c>
      <c r="AC156" s="175" t="b">
        <v>1</v>
      </c>
      <c r="AD156" s="272" t="b">
        <v>0</v>
      </c>
      <c r="AE156" s="180" t="b">
        <v>0</v>
      </c>
      <c r="AF156" s="181" t="b">
        <v>0</v>
      </c>
      <c r="AG156" s="180" t="b">
        <v>0</v>
      </c>
      <c r="AH156" s="166"/>
      <c r="AI156" s="265">
        <v>1.8759E7</v>
      </c>
      <c r="AJ156" s="266"/>
      <c r="AK156" s="270"/>
      <c r="AL156" s="270"/>
      <c r="AM156" s="270"/>
      <c r="AN156" s="304"/>
      <c r="AO156" s="269"/>
      <c r="AP156" s="269"/>
      <c r="AQ156" s="269"/>
      <c r="AR156" s="163" t="b">
        <v>0</v>
      </c>
      <c r="AS156" s="186" t="b">
        <v>0</v>
      </c>
      <c r="AT156" s="270"/>
      <c r="AU156" s="297"/>
      <c r="AV156" s="297"/>
    </row>
    <row r="157">
      <c r="A157" s="404"/>
      <c r="B157" s="250">
        <v>45849.0</v>
      </c>
      <c r="C157" s="350" t="s">
        <v>190</v>
      </c>
      <c r="D157" s="611" t="s">
        <v>114</v>
      </c>
      <c r="E157" s="260"/>
      <c r="F157" s="251" t="s">
        <v>170</v>
      </c>
      <c r="G157" s="252" t="s">
        <v>170</v>
      </c>
      <c r="H157" s="166"/>
      <c r="I157" s="612" t="s">
        <v>827</v>
      </c>
      <c r="J157" s="254" t="s">
        <v>118</v>
      </c>
      <c r="K157" s="606" t="s">
        <v>828</v>
      </c>
      <c r="L157" s="607" t="s">
        <v>829</v>
      </c>
      <c r="M157" s="257"/>
      <c r="N157" s="613" t="s">
        <v>119</v>
      </c>
      <c r="O157" s="362" t="s">
        <v>196</v>
      </c>
      <c r="P157" s="614">
        <v>100.0</v>
      </c>
      <c r="Q157" s="514" t="s">
        <v>830</v>
      </c>
      <c r="R157" s="175">
        <f t="shared" si="1"/>
        <v>1</v>
      </c>
      <c r="S157" s="615">
        <v>45902.0</v>
      </c>
      <c r="T157" s="360">
        <v>45902.0</v>
      </c>
      <c r="U157" s="162" t="str">
        <f t="shared" si="2"/>
        <v>53 days</v>
      </c>
      <c r="V157" s="616">
        <v>45849.0</v>
      </c>
      <c r="W157" s="175" t="s">
        <v>831</v>
      </c>
      <c r="X157" s="259" t="s">
        <v>29</v>
      </c>
      <c r="Y157" s="263" t="s">
        <v>29</v>
      </c>
      <c r="Z157" s="172"/>
      <c r="AA157" s="264"/>
      <c r="AB157" s="162" t="b">
        <v>0</v>
      </c>
      <c r="AC157" s="175" t="b">
        <v>0</v>
      </c>
      <c r="AD157" s="175" t="b">
        <v>0</v>
      </c>
      <c r="AE157" s="180" t="b">
        <v>0</v>
      </c>
      <c r="AF157" s="180" t="b">
        <v>0</v>
      </c>
      <c r="AG157" s="180" t="b">
        <v>0</v>
      </c>
      <c r="AH157" s="166"/>
      <c r="AI157" s="617">
        <v>1.0E7</v>
      </c>
      <c r="AJ157" s="519"/>
      <c r="AK157" s="270"/>
      <c r="AL157" s="270"/>
      <c r="AM157" s="270"/>
      <c r="AN157" s="304"/>
      <c r="AO157" s="269"/>
      <c r="AP157" s="269"/>
      <c r="AQ157" s="269"/>
      <c r="AR157" s="163" t="b">
        <v>0</v>
      </c>
      <c r="AS157" s="186" t="b">
        <v>0</v>
      </c>
      <c r="AT157" s="270"/>
      <c r="AU157" s="270"/>
      <c r="AV157" s="270"/>
    </row>
    <row r="158">
      <c r="A158" s="383"/>
      <c r="B158" s="413">
        <v>45902.0</v>
      </c>
      <c r="C158" s="414" t="s">
        <v>113</v>
      </c>
      <c r="D158" s="415" t="s">
        <v>114</v>
      </c>
      <c r="E158" s="618"/>
      <c r="F158" s="387" t="s">
        <v>153</v>
      </c>
      <c r="G158" s="388" t="s">
        <v>153</v>
      </c>
      <c r="H158" s="166"/>
      <c r="I158" s="417" t="s">
        <v>776</v>
      </c>
      <c r="J158" s="418" t="s">
        <v>146</v>
      </c>
      <c r="K158" s="419" t="s">
        <v>777</v>
      </c>
      <c r="L158" s="619" t="s">
        <v>778</v>
      </c>
      <c r="M158" s="421"/>
      <c r="N158" s="422" t="s">
        <v>261</v>
      </c>
      <c r="O158" s="423" t="s">
        <v>166</v>
      </c>
      <c r="P158" s="424">
        <v>15.0</v>
      </c>
      <c r="Q158" s="425" t="s">
        <v>832</v>
      </c>
      <c r="R158" s="175">
        <f t="shared" si="1"/>
        <v>2</v>
      </c>
      <c r="S158" s="426">
        <v>45902.0</v>
      </c>
      <c r="T158" s="427">
        <v>45903.0</v>
      </c>
      <c r="U158" s="428" t="str">
        <f t="shared" si="2"/>
        <v>17 days</v>
      </c>
      <c r="V158" s="429">
        <v>45885.0</v>
      </c>
      <c r="W158" s="175" t="s">
        <v>833</v>
      </c>
      <c r="X158" s="423" t="s">
        <v>131</v>
      </c>
      <c r="Y158" s="430" t="s">
        <v>132</v>
      </c>
      <c r="Z158" s="431"/>
      <c r="AA158" s="432"/>
      <c r="AB158" s="396" t="b">
        <v>1</v>
      </c>
      <c r="AC158" s="397" t="b">
        <v>1</v>
      </c>
      <c r="AD158" s="397" t="b">
        <v>1</v>
      </c>
      <c r="AE158" s="398" t="b">
        <v>1</v>
      </c>
      <c r="AF158" s="620" t="b">
        <v>0</v>
      </c>
      <c r="AG158" s="180" t="b">
        <v>0</v>
      </c>
      <c r="AH158" s="433"/>
      <c r="AI158" s="434">
        <v>2.8809495E7</v>
      </c>
      <c r="AJ158" s="435"/>
      <c r="AK158" s="436" t="s">
        <v>134</v>
      </c>
      <c r="AL158" s="436" t="s">
        <v>134</v>
      </c>
      <c r="AM158" s="436" t="s">
        <v>134</v>
      </c>
      <c r="AN158" s="437" t="s">
        <v>135</v>
      </c>
      <c r="AO158" s="601" t="s">
        <v>834</v>
      </c>
      <c r="AP158" s="438"/>
      <c r="AQ158" s="438"/>
      <c r="AR158" s="439" t="b">
        <v>1</v>
      </c>
      <c r="AS158" s="440" t="b">
        <v>0</v>
      </c>
      <c r="AT158" s="441"/>
      <c r="AU158" s="297"/>
      <c r="AV158" s="297"/>
    </row>
    <row r="159">
      <c r="A159" s="404"/>
      <c r="B159" s="250">
        <v>45861.0</v>
      </c>
      <c r="C159" s="251" t="s">
        <v>113</v>
      </c>
      <c r="D159" s="252" t="s">
        <v>136</v>
      </c>
      <c r="E159" s="410"/>
      <c r="F159" s="251" t="s">
        <v>115</v>
      </c>
      <c r="G159" s="252" t="s">
        <v>162</v>
      </c>
      <c r="H159" s="166"/>
      <c r="I159" s="390" t="s">
        <v>835</v>
      </c>
      <c r="J159" s="254" t="s">
        <v>118</v>
      </c>
      <c r="K159" s="255" t="s">
        <v>836</v>
      </c>
      <c r="L159" s="621"/>
      <c r="M159" s="391"/>
      <c r="N159" s="258" t="s">
        <v>119</v>
      </c>
      <c r="O159" s="259" t="s">
        <v>120</v>
      </c>
      <c r="P159" s="389">
        <v>40.0</v>
      </c>
      <c r="Q159" s="392" t="s">
        <v>415</v>
      </c>
      <c r="R159" s="175">
        <f t="shared" si="1"/>
        <v>1</v>
      </c>
      <c r="S159" s="393">
        <v>45904.0</v>
      </c>
      <c r="T159" s="622">
        <v>45904.0</v>
      </c>
      <c r="U159" s="162" t="str">
        <f t="shared" si="2"/>
        <v>43 days</v>
      </c>
      <c r="V159" s="623">
        <v>45861.0</v>
      </c>
      <c r="W159" s="175" t="s">
        <v>837</v>
      </c>
      <c r="X159" s="259" t="s">
        <v>29</v>
      </c>
      <c r="Y159" s="263" t="s">
        <v>29</v>
      </c>
      <c r="Z159" s="412"/>
      <c r="AA159" s="264"/>
      <c r="AB159" s="162" t="b">
        <v>1</v>
      </c>
      <c r="AC159" s="175" t="b">
        <v>1</v>
      </c>
      <c r="AD159" s="175" t="b">
        <v>0</v>
      </c>
      <c r="AE159" s="180" t="b">
        <v>0</v>
      </c>
      <c r="AF159" s="180" t="b">
        <v>0</v>
      </c>
      <c r="AG159" s="180" t="b">
        <v>0</v>
      </c>
      <c r="AH159" s="624"/>
      <c r="AI159" s="400">
        <v>1.9425E7</v>
      </c>
      <c r="AJ159" s="401"/>
      <c r="AK159" s="270"/>
      <c r="AL159" s="270"/>
      <c r="AM159" s="270"/>
      <c r="AN159" s="304"/>
      <c r="AO159" s="403"/>
      <c r="AP159" s="403"/>
      <c r="AQ159" s="403"/>
      <c r="AR159" s="161" t="b">
        <v>0</v>
      </c>
      <c r="AS159" s="465" t="b">
        <v>0</v>
      </c>
      <c r="AT159" s="404"/>
      <c r="AU159" s="404"/>
      <c r="AV159" s="404"/>
    </row>
    <row r="160">
      <c r="A160" s="383"/>
      <c r="B160" s="250">
        <v>45873.0</v>
      </c>
      <c r="C160" s="251" t="s">
        <v>113</v>
      </c>
      <c r="D160" s="252" t="s">
        <v>114</v>
      </c>
      <c r="E160" s="253"/>
      <c r="F160" s="251" t="s">
        <v>287</v>
      </c>
      <c r="G160" s="252" t="s">
        <v>287</v>
      </c>
      <c r="H160" s="166"/>
      <c r="I160" s="254" t="s">
        <v>838</v>
      </c>
      <c r="J160" s="254" t="s">
        <v>118</v>
      </c>
      <c r="K160" s="255" t="s">
        <v>839</v>
      </c>
      <c r="L160" s="255"/>
      <c r="M160" s="257"/>
      <c r="N160" s="258" t="s">
        <v>119</v>
      </c>
      <c r="O160" s="259" t="s">
        <v>120</v>
      </c>
      <c r="P160" s="253">
        <v>70.0</v>
      </c>
      <c r="Q160" s="261" t="s">
        <v>840</v>
      </c>
      <c r="R160" s="175">
        <f t="shared" si="1"/>
        <v>4</v>
      </c>
      <c r="S160" s="148">
        <v>45904.0</v>
      </c>
      <c r="T160" s="242">
        <v>45907.0</v>
      </c>
      <c r="U160" s="162" t="str">
        <f t="shared" si="2"/>
        <v>31 days</v>
      </c>
      <c r="V160" s="262">
        <v>45873.0</v>
      </c>
      <c r="W160" s="175" t="s">
        <v>841</v>
      </c>
      <c r="X160" s="259" t="s">
        <v>29</v>
      </c>
      <c r="Y160" s="263" t="s">
        <v>29</v>
      </c>
      <c r="Z160" s="172"/>
      <c r="AA160" s="264"/>
      <c r="AB160" s="162" t="b">
        <v>1</v>
      </c>
      <c r="AC160" s="272" t="b">
        <v>0</v>
      </c>
      <c r="AD160" s="272" t="b">
        <v>0</v>
      </c>
      <c r="AE160" s="181" t="b">
        <v>0</v>
      </c>
      <c r="AF160" s="181" t="b">
        <v>0</v>
      </c>
      <c r="AG160" s="180" t="b">
        <v>0</v>
      </c>
      <c r="AH160" s="166"/>
      <c r="AI160" s="265">
        <v>1.14996E8</v>
      </c>
      <c r="AJ160" s="266"/>
      <c r="AK160" s="270"/>
      <c r="AL160" s="270"/>
      <c r="AM160" s="270"/>
      <c r="AN160" s="304"/>
      <c r="AO160" s="499"/>
      <c r="AP160" s="499"/>
      <c r="AQ160" s="499"/>
      <c r="AR160" s="490" t="b">
        <v>0</v>
      </c>
      <c r="AS160" s="484" t="b">
        <v>0</v>
      </c>
      <c r="AT160" s="103"/>
      <c r="AU160" s="383"/>
      <c r="AV160" s="383"/>
    </row>
    <row r="161">
      <c r="A161" s="404"/>
      <c r="B161" s="278">
        <v>45849.0</v>
      </c>
      <c r="C161" s="279" t="s">
        <v>113</v>
      </c>
      <c r="D161" s="280" t="s">
        <v>136</v>
      </c>
      <c r="E161" s="625"/>
      <c r="F161" s="279" t="s">
        <v>115</v>
      </c>
      <c r="G161" s="280" t="s">
        <v>162</v>
      </c>
      <c r="H161" s="139"/>
      <c r="I161" s="626" t="s">
        <v>842</v>
      </c>
      <c r="J161" s="322" t="s">
        <v>118</v>
      </c>
      <c r="K161" s="347" t="s">
        <v>843</v>
      </c>
      <c r="L161" s="627"/>
      <c r="M161" s="628"/>
      <c r="N161" s="286" t="s">
        <v>119</v>
      </c>
      <c r="O161" s="287" t="s">
        <v>120</v>
      </c>
      <c r="P161" s="629">
        <v>11.0</v>
      </c>
      <c r="Q161" s="630" t="s">
        <v>415</v>
      </c>
      <c r="R161" s="147">
        <f t="shared" si="1"/>
        <v>1</v>
      </c>
      <c r="S161" s="148">
        <v>45906.0</v>
      </c>
      <c r="T161" s="239">
        <v>45906.0</v>
      </c>
      <c r="U161" s="137" t="str">
        <f t="shared" si="2"/>
        <v>57 days</v>
      </c>
      <c r="V161" s="290">
        <v>45849.0</v>
      </c>
      <c r="W161" s="147" t="s">
        <v>844</v>
      </c>
      <c r="X161" s="287" t="s">
        <v>29</v>
      </c>
      <c r="Y161" s="291" t="s">
        <v>29</v>
      </c>
      <c r="Z161" s="631"/>
      <c r="AA161" s="292"/>
      <c r="AB161" s="137" t="b">
        <v>1</v>
      </c>
      <c r="AC161" s="147" t="b">
        <v>1</v>
      </c>
      <c r="AD161" s="147" t="b">
        <v>0</v>
      </c>
      <c r="AE161" s="154" t="b">
        <v>0</v>
      </c>
      <c r="AF161" s="154" t="b">
        <v>0</v>
      </c>
      <c r="AG161" s="154" t="b">
        <v>0</v>
      </c>
      <c r="AH161" s="139"/>
      <c r="AI161" s="293">
        <v>7000000.0</v>
      </c>
      <c r="AJ161" s="326"/>
      <c r="AK161" s="297"/>
      <c r="AL161" s="297"/>
      <c r="AM161" s="297"/>
      <c r="AN161" s="327"/>
      <c r="AO161" s="499"/>
      <c r="AP161" s="499"/>
      <c r="AQ161" s="499"/>
      <c r="AR161" s="490"/>
      <c r="AS161" s="484"/>
      <c r="AT161" s="103"/>
      <c r="AU161" s="404"/>
      <c r="AV161" s="404"/>
    </row>
    <row r="162">
      <c r="A162" s="103"/>
      <c r="B162" s="250">
        <v>45866.0</v>
      </c>
      <c r="C162" s="251" t="s">
        <v>113</v>
      </c>
      <c r="D162" s="252" t="s">
        <v>114</v>
      </c>
      <c r="E162" s="253"/>
      <c r="F162" s="251" t="s">
        <v>115</v>
      </c>
      <c r="G162" s="252" t="s">
        <v>287</v>
      </c>
      <c r="H162" s="166"/>
      <c r="I162" s="254" t="s">
        <v>845</v>
      </c>
      <c r="J162" s="254" t="s">
        <v>118</v>
      </c>
      <c r="K162" s="255" t="s">
        <v>846</v>
      </c>
      <c r="L162" s="255"/>
      <c r="M162" s="257"/>
      <c r="N162" s="258" t="s">
        <v>119</v>
      </c>
      <c r="O162" s="259" t="s">
        <v>196</v>
      </c>
      <c r="P162" s="253">
        <v>30.0</v>
      </c>
      <c r="Q162" s="261" t="s">
        <v>847</v>
      </c>
      <c r="R162" s="147">
        <f t="shared" si="1"/>
        <v>1</v>
      </c>
      <c r="S162" s="148">
        <v>45906.0</v>
      </c>
      <c r="T162" s="242">
        <v>45906.0</v>
      </c>
      <c r="U162" s="162" t="str">
        <f t="shared" si="2"/>
        <v>40 days</v>
      </c>
      <c r="V162" s="262">
        <v>45866.0</v>
      </c>
      <c r="W162" s="147" t="s">
        <v>848</v>
      </c>
      <c r="X162" s="259" t="s">
        <v>29</v>
      </c>
      <c r="Y162" s="263" t="s">
        <v>29</v>
      </c>
      <c r="Z162" s="172"/>
      <c r="AA162" s="264"/>
      <c r="AB162" s="302" t="b">
        <v>0</v>
      </c>
      <c r="AC162" s="272" t="b">
        <v>0</v>
      </c>
      <c r="AD162" s="272" t="b">
        <v>0</v>
      </c>
      <c r="AE162" s="181" t="b">
        <v>0</v>
      </c>
      <c r="AF162" s="181" t="b">
        <v>0</v>
      </c>
      <c r="AG162" s="154" t="b">
        <v>0</v>
      </c>
      <c r="AH162" s="166"/>
      <c r="AI162" s="265">
        <v>1.1655E7</v>
      </c>
      <c r="AJ162" s="266"/>
      <c r="AK162" s="270"/>
      <c r="AL162" s="270"/>
      <c r="AM162" s="270"/>
      <c r="AN162" s="304"/>
      <c r="AO162" s="403"/>
      <c r="AP162" s="403"/>
      <c r="AQ162" s="403"/>
      <c r="AR162" s="163" t="b">
        <v>0</v>
      </c>
      <c r="AS162" s="186" t="b">
        <v>0</v>
      </c>
      <c r="AT162" s="404"/>
      <c r="AU162" s="476"/>
      <c r="AV162" s="476"/>
    </row>
    <row r="163">
      <c r="A163" s="404"/>
      <c r="B163" s="477">
        <v>45907.0</v>
      </c>
      <c r="C163" s="506" t="s">
        <v>113</v>
      </c>
      <c r="D163" s="632" t="s">
        <v>136</v>
      </c>
      <c r="E163" s="633"/>
      <c r="F163" s="478" t="s">
        <v>115</v>
      </c>
      <c r="G163" s="634" t="s">
        <v>287</v>
      </c>
      <c r="H163" s="479"/>
      <c r="I163" s="635" t="s">
        <v>782</v>
      </c>
      <c r="J163" s="636" t="s">
        <v>118</v>
      </c>
      <c r="K163" s="637" t="s">
        <v>783</v>
      </c>
      <c r="L163" s="637"/>
      <c r="M163" s="638"/>
      <c r="N163" s="639" t="s">
        <v>182</v>
      </c>
      <c r="O163" s="640" t="s">
        <v>182</v>
      </c>
      <c r="P163" s="633">
        <v>1.0</v>
      </c>
      <c r="Q163" s="495" t="s">
        <v>321</v>
      </c>
      <c r="R163" s="471">
        <f t="shared" si="1"/>
        <v>2</v>
      </c>
      <c r="S163" s="148">
        <v>45908.0</v>
      </c>
      <c r="T163" s="641">
        <v>45909.0</v>
      </c>
      <c r="U163" s="485" t="str">
        <f t="shared" si="2"/>
        <v>1 days</v>
      </c>
      <c r="V163" s="642">
        <v>45907.0</v>
      </c>
      <c r="W163" s="471" t="s">
        <v>849</v>
      </c>
      <c r="X163" s="640" t="s">
        <v>131</v>
      </c>
      <c r="Y163" s="487" t="s">
        <v>132</v>
      </c>
      <c r="Z163" s="643"/>
      <c r="AA163" s="644"/>
      <c r="AB163" s="645" t="b">
        <v>1</v>
      </c>
      <c r="AC163" s="646" t="b">
        <v>0</v>
      </c>
      <c r="AD163" s="646" t="b">
        <v>0</v>
      </c>
      <c r="AE163" s="647" t="b">
        <v>0</v>
      </c>
      <c r="AF163" s="647" t="b">
        <v>0</v>
      </c>
      <c r="AG163" s="475" t="b">
        <v>0</v>
      </c>
      <c r="AH163" s="648"/>
      <c r="AI163" s="649">
        <v>3052500.0</v>
      </c>
      <c r="AJ163" s="505"/>
      <c r="AK163" s="512" t="s">
        <v>134</v>
      </c>
      <c r="AL163" s="512" t="s">
        <v>134</v>
      </c>
      <c r="AM163" s="512" t="s">
        <v>134</v>
      </c>
      <c r="AN163" s="650" t="s">
        <v>135</v>
      </c>
      <c r="AO163" s="499"/>
      <c r="AP163" s="499"/>
      <c r="AQ163" s="499"/>
      <c r="AR163" s="493" t="b">
        <v>0</v>
      </c>
      <c r="AS163" s="494" t="b">
        <v>0</v>
      </c>
      <c r="AT163" s="103"/>
      <c r="AU163" s="270"/>
      <c r="AV163" s="270"/>
    </row>
    <row r="164">
      <c r="A164" s="103"/>
      <c r="B164" s="250">
        <v>45867.0</v>
      </c>
      <c r="C164" s="251" t="s">
        <v>113</v>
      </c>
      <c r="D164" s="252" t="s">
        <v>136</v>
      </c>
      <c r="E164" s="253"/>
      <c r="F164" s="251" t="s">
        <v>115</v>
      </c>
      <c r="G164" s="252" t="s">
        <v>287</v>
      </c>
      <c r="H164" s="166"/>
      <c r="I164" s="254" t="s">
        <v>850</v>
      </c>
      <c r="J164" s="254" t="s">
        <v>118</v>
      </c>
      <c r="K164" s="255" t="s">
        <v>632</v>
      </c>
      <c r="L164" s="255"/>
      <c r="M164" s="257"/>
      <c r="N164" s="258" t="s">
        <v>119</v>
      </c>
      <c r="O164" s="259" t="s">
        <v>120</v>
      </c>
      <c r="P164" s="253">
        <v>40.0</v>
      </c>
      <c r="Q164" s="261" t="s">
        <v>415</v>
      </c>
      <c r="R164" s="471">
        <f t="shared" si="1"/>
        <v>1</v>
      </c>
      <c r="S164" s="148">
        <v>45911.0</v>
      </c>
      <c r="T164" s="242">
        <v>45911.0</v>
      </c>
      <c r="U164" s="162" t="str">
        <f t="shared" si="2"/>
        <v>44 days</v>
      </c>
      <c r="V164" s="262">
        <v>45867.0</v>
      </c>
      <c r="W164" s="471" t="s">
        <v>851</v>
      </c>
      <c r="X164" s="259" t="s">
        <v>29</v>
      </c>
      <c r="Y164" s="263" t="s">
        <v>29</v>
      </c>
      <c r="Z164" s="172"/>
      <c r="AA164" s="264"/>
      <c r="AB164" s="302" t="b">
        <v>0</v>
      </c>
      <c r="AC164" s="272" t="b">
        <v>0</v>
      </c>
      <c r="AD164" s="272" t="b">
        <v>0</v>
      </c>
      <c r="AE164" s="181" t="b">
        <v>0</v>
      </c>
      <c r="AF164" s="181" t="b">
        <v>0</v>
      </c>
      <c r="AG164" s="475" t="b">
        <v>0</v>
      </c>
      <c r="AH164" s="166"/>
      <c r="AI164" s="265">
        <v>2.1867E7</v>
      </c>
      <c r="AJ164" s="266"/>
      <c r="AK164" s="270"/>
      <c r="AL164" s="270"/>
      <c r="AM164" s="270"/>
      <c r="AN164" s="304"/>
      <c r="AO164" s="403"/>
      <c r="AP164" s="403"/>
      <c r="AQ164" s="403"/>
      <c r="AR164" s="163" t="b">
        <v>0</v>
      </c>
      <c r="AS164" s="186" t="b">
        <v>0</v>
      </c>
      <c r="AT164" s="404"/>
      <c r="AU164" s="476"/>
      <c r="AV164" s="476"/>
    </row>
    <row r="165">
      <c r="A165" s="404"/>
      <c r="B165" s="477">
        <v>45701.0</v>
      </c>
      <c r="C165" s="478" t="s">
        <v>113</v>
      </c>
      <c r="D165" s="634" t="s">
        <v>136</v>
      </c>
      <c r="E165" s="651"/>
      <c r="F165" s="478" t="s">
        <v>115</v>
      </c>
      <c r="G165" s="634" t="s">
        <v>162</v>
      </c>
      <c r="H165" s="479"/>
      <c r="I165" s="636" t="s">
        <v>852</v>
      </c>
      <c r="J165" s="636" t="s">
        <v>118</v>
      </c>
      <c r="K165" s="637" t="s">
        <v>853</v>
      </c>
      <c r="L165" s="652"/>
      <c r="M165" s="653"/>
      <c r="N165" s="639" t="s">
        <v>119</v>
      </c>
      <c r="O165" s="640" t="s">
        <v>120</v>
      </c>
      <c r="P165" s="654">
        <v>90.0</v>
      </c>
      <c r="Q165" s="480" t="s">
        <v>415</v>
      </c>
      <c r="R165" s="471">
        <f t="shared" si="1"/>
        <v>2</v>
      </c>
      <c r="S165" s="148">
        <v>45912.0</v>
      </c>
      <c r="T165" s="641">
        <v>45913.0</v>
      </c>
      <c r="U165" s="485" t="str">
        <f t="shared" si="2"/>
        <v>211 days</v>
      </c>
      <c r="V165" s="642">
        <v>45701.0</v>
      </c>
      <c r="W165" s="471" t="s">
        <v>854</v>
      </c>
      <c r="X165" s="640" t="s">
        <v>29</v>
      </c>
      <c r="Y165" s="487" t="s">
        <v>29</v>
      </c>
      <c r="Z165" s="655"/>
      <c r="AA165" s="656"/>
      <c r="AB165" s="485" t="b">
        <v>1</v>
      </c>
      <c r="AC165" s="471" t="b">
        <v>1</v>
      </c>
      <c r="AD165" s="657" t="b">
        <v>0</v>
      </c>
      <c r="AE165" s="658" t="b">
        <v>0</v>
      </c>
      <c r="AF165" s="658" t="b">
        <v>0</v>
      </c>
      <c r="AG165" s="475" t="b">
        <v>0</v>
      </c>
      <c r="AH165" s="479"/>
      <c r="AI165" s="659">
        <v>4.1625E7</v>
      </c>
      <c r="AJ165" s="532"/>
      <c r="AK165" s="476"/>
      <c r="AL165" s="476"/>
      <c r="AM165" s="476"/>
      <c r="AN165" s="660"/>
      <c r="AO165" s="492"/>
      <c r="AP165" s="492"/>
      <c r="AQ165" s="492"/>
      <c r="AR165" s="493" t="b">
        <v>0</v>
      </c>
      <c r="AS165" s="494" t="b">
        <v>0</v>
      </c>
      <c r="AT165" s="476"/>
      <c r="AU165" s="270"/>
      <c r="AV165" s="270"/>
    </row>
    <row r="166">
      <c r="A166" s="103"/>
      <c r="B166" s="477">
        <v>45861.0</v>
      </c>
      <c r="C166" s="478" t="s">
        <v>113</v>
      </c>
      <c r="D166" s="634" t="s">
        <v>652</v>
      </c>
      <c r="E166" s="661"/>
      <c r="F166" s="478" t="s">
        <v>764</v>
      </c>
      <c r="G166" s="634" t="s">
        <v>162</v>
      </c>
      <c r="H166" s="479"/>
      <c r="I166" s="635" t="s">
        <v>855</v>
      </c>
      <c r="J166" s="636" t="s">
        <v>118</v>
      </c>
      <c r="K166" s="637" t="s">
        <v>856</v>
      </c>
      <c r="L166" s="662" t="s">
        <v>857</v>
      </c>
      <c r="M166" s="638"/>
      <c r="N166" s="639" t="s">
        <v>119</v>
      </c>
      <c r="O166" s="640" t="s">
        <v>166</v>
      </c>
      <c r="P166" s="633">
        <v>50.0</v>
      </c>
      <c r="Q166" s="495" t="s">
        <v>858</v>
      </c>
      <c r="R166" s="471">
        <f t="shared" si="1"/>
        <v>2</v>
      </c>
      <c r="S166" s="393">
        <v>45912.0</v>
      </c>
      <c r="T166" s="663">
        <v>45913.0</v>
      </c>
      <c r="U166" s="485" t="str">
        <f t="shared" si="2"/>
        <v>51 days</v>
      </c>
      <c r="V166" s="664">
        <v>45861.0</v>
      </c>
      <c r="W166" s="471" t="s">
        <v>859</v>
      </c>
      <c r="X166" s="640" t="s">
        <v>29</v>
      </c>
      <c r="Y166" s="487" t="s">
        <v>29</v>
      </c>
      <c r="Z166" s="665"/>
      <c r="AA166" s="656"/>
      <c r="AB166" s="485" t="b">
        <v>1</v>
      </c>
      <c r="AC166" s="471" t="b">
        <v>1</v>
      </c>
      <c r="AD166" s="471" t="b">
        <v>0</v>
      </c>
      <c r="AE166" s="475" t="b">
        <v>0</v>
      </c>
      <c r="AF166" s="475" t="b">
        <v>0</v>
      </c>
      <c r="AG166" s="475" t="b">
        <v>0</v>
      </c>
      <c r="AH166" s="666"/>
      <c r="AI166" s="649">
        <v>8.772885E7</v>
      </c>
      <c r="AJ166" s="505"/>
      <c r="AK166" s="476"/>
      <c r="AL166" s="476"/>
      <c r="AM166" s="476"/>
      <c r="AN166" s="660"/>
      <c r="AO166" s="499"/>
      <c r="AP166" s="499"/>
      <c r="AQ166" s="499"/>
      <c r="AR166" s="493" t="b">
        <v>0</v>
      </c>
      <c r="AS166" s="494" t="b">
        <v>0</v>
      </c>
      <c r="AT166" s="103"/>
      <c r="AU166" s="476"/>
      <c r="AV166" s="476"/>
    </row>
    <row r="167">
      <c r="A167" s="103"/>
      <c r="B167" s="250">
        <v>45914.0</v>
      </c>
      <c r="C167" s="387" t="s">
        <v>113</v>
      </c>
      <c r="D167" s="388" t="s">
        <v>136</v>
      </c>
      <c r="E167" s="389"/>
      <c r="F167" s="251" t="s">
        <v>115</v>
      </c>
      <c r="G167" s="252" t="s">
        <v>162</v>
      </c>
      <c r="H167" s="166"/>
      <c r="I167" s="390" t="s">
        <v>860</v>
      </c>
      <c r="J167" s="254" t="s">
        <v>118</v>
      </c>
      <c r="K167" s="255" t="s">
        <v>861</v>
      </c>
      <c r="L167" s="255"/>
      <c r="M167" s="391"/>
      <c r="N167" s="258" t="s">
        <v>119</v>
      </c>
      <c r="O167" s="259" t="s">
        <v>196</v>
      </c>
      <c r="P167" s="389">
        <v>40.0</v>
      </c>
      <c r="Q167" s="392" t="s">
        <v>415</v>
      </c>
      <c r="R167" s="175">
        <f t="shared" si="1"/>
        <v>1</v>
      </c>
      <c r="S167" s="393">
        <v>45913.0</v>
      </c>
      <c r="T167" s="242">
        <v>45913.0</v>
      </c>
      <c r="U167" s="162" t="str">
        <f t="shared" si="2"/>
        <v>9 days</v>
      </c>
      <c r="V167" s="262">
        <v>45904.0</v>
      </c>
      <c r="W167" s="175" t="s">
        <v>862</v>
      </c>
      <c r="X167" s="259" t="s">
        <v>29</v>
      </c>
      <c r="Y167" s="263" t="s">
        <v>29</v>
      </c>
      <c r="Z167" s="394"/>
      <c r="AA167" s="667" t="s">
        <v>189</v>
      </c>
      <c r="AB167" s="396" t="b">
        <v>1</v>
      </c>
      <c r="AC167" s="397" t="b">
        <v>1</v>
      </c>
      <c r="AD167" s="397" t="b">
        <v>0</v>
      </c>
      <c r="AE167" s="398" t="b">
        <v>0</v>
      </c>
      <c r="AF167" s="398" t="b">
        <v>0</v>
      </c>
      <c r="AG167" s="180" t="b">
        <v>0</v>
      </c>
      <c r="AH167" s="399"/>
      <c r="AI167" s="400">
        <v>1.8426E7</v>
      </c>
      <c r="AJ167" s="401"/>
      <c r="AK167" s="402"/>
      <c r="AL167" s="402"/>
      <c r="AM167" s="402"/>
      <c r="AN167" s="267"/>
      <c r="AO167" s="403"/>
      <c r="AP167" s="403"/>
      <c r="AQ167" s="403"/>
      <c r="AR167" s="161" t="b">
        <v>0</v>
      </c>
      <c r="AS167" s="465" t="b">
        <v>0</v>
      </c>
      <c r="AT167" s="404"/>
      <c r="AU167" s="103"/>
      <c r="AV167" s="103"/>
    </row>
    <row r="168">
      <c r="A168" s="103"/>
      <c r="B168" s="250">
        <v>45897.0</v>
      </c>
      <c r="C168" s="387" t="s">
        <v>113</v>
      </c>
      <c r="D168" s="388" t="s">
        <v>250</v>
      </c>
      <c r="E168" s="389"/>
      <c r="F168" s="251" t="s">
        <v>170</v>
      </c>
      <c r="G168" s="252" t="s">
        <v>170</v>
      </c>
      <c r="H168" s="166"/>
      <c r="I168" s="390" t="s">
        <v>863</v>
      </c>
      <c r="J168" s="254" t="s">
        <v>118</v>
      </c>
      <c r="K168" s="255" t="s">
        <v>864</v>
      </c>
      <c r="L168" s="256" t="s">
        <v>865</v>
      </c>
      <c r="M168" s="391"/>
      <c r="N168" s="258" t="s">
        <v>119</v>
      </c>
      <c r="O168" s="259" t="s">
        <v>138</v>
      </c>
      <c r="P168" s="389">
        <v>38.0</v>
      </c>
      <c r="Q168" s="392" t="s">
        <v>866</v>
      </c>
      <c r="R168" s="147">
        <f t="shared" si="1"/>
        <v>1</v>
      </c>
      <c r="S168" s="148">
        <v>45914.0</v>
      </c>
      <c r="T168" s="242">
        <v>45914.0</v>
      </c>
      <c r="U168" s="162" t="str">
        <f t="shared" si="2"/>
        <v>17 days</v>
      </c>
      <c r="V168" s="262">
        <v>45897.0</v>
      </c>
      <c r="W168" s="147" t="s">
        <v>867</v>
      </c>
      <c r="X168" s="259" t="s">
        <v>29</v>
      </c>
      <c r="Y168" s="263" t="s">
        <v>29</v>
      </c>
      <c r="Z168" s="394"/>
      <c r="AA168" s="395"/>
      <c r="AB168" s="668" t="b">
        <v>0</v>
      </c>
      <c r="AC168" s="669" t="b">
        <v>0</v>
      </c>
      <c r="AD168" s="669" t="b">
        <v>0</v>
      </c>
      <c r="AE168" s="620" t="b">
        <v>0</v>
      </c>
      <c r="AF168" s="620" t="b">
        <v>0</v>
      </c>
      <c r="AG168" s="154" t="b">
        <v>0</v>
      </c>
      <c r="AH168" s="399"/>
      <c r="AI168" s="400">
        <v>3.665775E7</v>
      </c>
      <c r="AJ168" s="401"/>
      <c r="AK168" s="402"/>
      <c r="AL168" s="402"/>
      <c r="AM168" s="402"/>
      <c r="AN168" s="267"/>
      <c r="AO168" s="403"/>
      <c r="AP168" s="403"/>
      <c r="AQ168" s="403"/>
      <c r="AR168" s="161" t="b">
        <v>0</v>
      </c>
      <c r="AS168" s="465" t="b">
        <v>0</v>
      </c>
      <c r="AT168" s="404"/>
      <c r="AU168" s="103"/>
      <c r="AV168" s="103"/>
    </row>
    <row r="169">
      <c r="A169" s="103"/>
      <c r="B169" s="413">
        <v>45911.0</v>
      </c>
      <c r="C169" s="414" t="s">
        <v>113</v>
      </c>
      <c r="D169" s="415" t="s">
        <v>250</v>
      </c>
      <c r="E169" s="618"/>
      <c r="F169" s="387" t="s">
        <v>115</v>
      </c>
      <c r="G169" s="388" t="s">
        <v>170</v>
      </c>
      <c r="H169" s="166"/>
      <c r="I169" s="670" t="s">
        <v>868</v>
      </c>
      <c r="J169" s="670" t="s">
        <v>118</v>
      </c>
      <c r="K169" s="671" t="s">
        <v>869</v>
      </c>
      <c r="L169" s="672" t="s">
        <v>870</v>
      </c>
      <c r="M169" s="442"/>
      <c r="N169" s="673" t="s">
        <v>182</v>
      </c>
      <c r="O169" s="674" t="s">
        <v>182</v>
      </c>
      <c r="P169" s="416">
        <v>1.0</v>
      </c>
      <c r="Q169" s="675" t="s">
        <v>871</v>
      </c>
      <c r="R169" s="175">
        <f t="shared" si="1"/>
        <v>2</v>
      </c>
      <c r="S169" s="426">
        <v>45917.0</v>
      </c>
      <c r="T169" s="427">
        <v>45918.0</v>
      </c>
      <c r="U169" s="162" t="str">
        <f t="shared" si="2"/>
        <v>6 days</v>
      </c>
      <c r="V169" s="676">
        <v>45911.0</v>
      </c>
      <c r="W169" s="175" t="s">
        <v>872</v>
      </c>
      <c r="X169" s="677" t="s">
        <v>131</v>
      </c>
      <c r="Y169" s="678" t="s">
        <v>132</v>
      </c>
      <c r="Z169" s="431"/>
      <c r="AA169" s="432"/>
      <c r="AB169" s="396" t="b">
        <v>1</v>
      </c>
      <c r="AC169" s="669" t="b">
        <v>0</v>
      </c>
      <c r="AD169" s="397" t="b">
        <v>1</v>
      </c>
      <c r="AE169" s="398" t="b">
        <v>1</v>
      </c>
      <c r="AF169" s="398" t="b">
        <v>1</v>
      </c>
      <c r="AG169" s="180" t="b">
        <v>1</v>
      </c>
      <c r="AH169" s="433"/>
      <c r="AI169" s="679">
        <v>1.6775E7</v>
      </c>
      <c r="AJ169" s="680"/>
      <c r="AK169" s="436" t="s">
        <v>134</v>
      </c>
      <c r="AL169" s="436" t="s">
        <v>134</v>
      </c>
      <c r="AM169" s="436" t="s">
        <v>134</v>
      </c>
      <c r="AN169" s="681" t="s">
        <v>135</v>
      </c>
      <c r="AO169" s="547"/>
      <c r="AP169" s="547"/>
      <c r="AQ169" s="547"/>
      <c r="AR169" s="490" t="b">
        <v>0</v>
      </c>
      <c r="AS169" s="484" t="b">
        <v>0</v>
      </c>
      <c r="AT169" s="103"/>
      <c r="AU169" s="103"/>
      <c r="AV169" s="103"/>
    </row>
    <row r="170">
      <c r="A170" s="103"/>
      <c r="B170" s="250">
        <v>45841.0</v>
      </c>
      <c r="C170" s="251" t="s">
        <v>113</v>
      </c>
      <c r="D170" s="252" t="s">
        <v>136</v>
      </c>
      <c r="E170" s="260"/>
      <c r="F170" s="251" t="s">
        <v>115</v>
      </c>
      <c r="G170" s="252" t="s">
        <v>162</v>
      </c>
      <c r="H170" s="166"/>
      <c r="I170" s="254" t="s">
        <v>873</v>
      </c>
      <c r="J170" s="254" t="s">
        <v>118</v>
      </c>
      <c r="K170" s="255" t="s">
        <v>874</v>
      </c>
      <c r="L170" s="551"/>
      <c r="M170" s="257"/>
      <c r="N170" s="258" t="s">
        <v>119</v>
      </c>
      <c r="O170" s="259" t="s">
        <v>120</v>
      </c>
      <c r="P170" s="253">
        <v>60.0</v>
      </c>
      <c r="Q170" s="261" t="s">
        <v>415</v>
      </c>
      <c r="R170" s="147">
        <f t="shared" si="1"/>
        <v>1</v>
      </c>
      <c r="S170" s="148">
        <v>45918.0</v>
      </c>
      <c r="T170" s="242">
        <v>45918.0</v>
      </c>
      <c r="U170" s="162" t="str">
        <f t="shared" si="2"/>
        <v>77 days</v>
      </c>
      <c r="V170" s="262">
        <v>45841.0</v>
      </c>
      <c r="W170" s="147" t="s">
        <v>875</v>
      </c>
      <c r="X170" s="259" t="s">
        <v>29</v>
      </c>
      <c r="Y170" s="263" t="s">
        <v>29</v>
      </c>
      <c r="Z170" s="172"/>
      <c r="AA170" s="305" t="s">
        <v>123</v>
      </c>
      <c r="AB170" s="162" t="b">
        <v>1</v>
      </c>
      <c r="AC170" s="175" t="b">
        <v>1</v>
      </c>
      <c r="AD170" s="272" t="b">
        <v>0</v>
      </c>
      <c r="AE170" s="181" t="b">
        <v>0</v>
      </c>
      <c r="AF170" s="181" t="b">
        <v>0</v>
      </c>
      <c r="AG170" s="154" t="b">
        <v>0</v>
      </c>
      <c r="AH170" s="166"/>
      <c r="AI170" s="265">
        <v>2.5974E7</v>
      </c>
      <c r="AJ170" s="266"/>
      <c r="AK170" s="270"/>
      <c r="AL170" s="270"/>
      <c r="AM170" s="270"/>
      <c r="AN170" s="304"/>
      <c r="AO170" s="269"/>
      <c r="AP170" s="269"/>
      <c r="AQ170" s="269"/>
      <c r="AR170" s="161"/>
      <c r="AS170" s="465"/>
      <c r="AT170" s="404"/>
      <c r="AU170" s="103"/>
      <c r="AV170" s="103"/>
    </row>
    <row r="171">
      <c r="A171" s="404"/>
      <c r="B171" s="554">
        <v>45856.0</v>
      </c>
      <c r="C171" s="555" t="s">
        <v>113</v>
      </c>
      <c r="D171" s="555" t="s">
        <v>114</v>
      </c>
      <c r="E171" s="557"/>
      <c r="F171" s="557" t="s">
        <v>153</v>
      </c>
      <c r="G171" s="557" t="s">
        <v>441</v>
      </c>
      <c r="H171" s="479"/>
      <c r="I171" s="558" t="s">
        <v>876</v>
      </c>
      <c r="J171" s="559" t="s">
        <v>155</v>
      </c>
      <c r="K171" s="560" t="s">
        <v>877</v>
      </c>
      <c r="L171" s="682"/>
      <c r="M171" s="683"/>
      <c r="N171" s="559" t="s">
        <v>119</v>
      </c>
      <c r="O171" s="559" t="s">
        <v>120</v>
      </c>
      <c r="P171" s="555">
        <v>128.0</v>
      </c>
      <c r="Q171" s="563" t="s">
        <v>553</v>
      </c>
      <c r="R171" s="471">
        <f t="shared" si="1"/>
        <v>2</v>
      </c>
      <c r="S171" s="564">
        <v>45920.0</v>
      </c>
      <c r="T171" s="565">
        <v>45921.0</v>
      </c>
      <c r="U171" s="566" t="str">
        <f t="shared" si="2"/>
        <v>64 days</v>
      </c>
      <c r="V171" s="567">
        <v>45856.0</v>
      </c>
      <c r="W171" s="471" t="s">
        <v>878</v>
      </c>
      <c r="X171" s="684" t="s">
        <v>29</v>
      </c>
      <c r="Y171" s="685" t="s">
        <v>29</v>
      </c>
      <c r="Z171" s="431"/>
      <c r="AA171" s="686" t="s">
        <v>225</v>
      </c>
      <c r="AB171" s="396" t="b">
        <v>1</v>
      </c>
      <c r="AC171" s="397" t="b">
        <v>1</v>
      </c>
      <c r="AD171" s="397" t="b">
        <v>0</v>
      </c>
      <c r="AE171" s="398" t="b">
        <v>1</v>
      </c>
      <c r="AF171" s="398" t="b">
        <v>0</v>
      </c>
      <c r="AG171" s="475" t="b">
        <v>0</v>
      </c>
      <c r="AH171" s="433"/>
      <c r="AI171" s="573">
        <v>4.63362174E8</v>
      </c>
      <c r="AJ171" s="574"/>
      <c r="AK171" s="559"/>
      <c r="AL171" s="559"/>
      <c r="AM171" s="559"/>
      <c r="AN171" s="559"/>
      <c r="AO171" s="576"/>
      <c r="AP171" s="576"/>
      <c r="AQ171" s="576"/>
      <c r="AR171" s="687" t="b">
        <v>0</v>
      </c>
      <c r="AS171" s="688" t="b">
        <v>0</v>
      </c>
      <c r="AT171" s="579"/>
      <c r="AU171" s="270"/>
      <c r="AV171" s="270"/>
    </row>
    <row r="172">
      <c r="A172" s="103"/>
      <c r="B172" s="689">
        <v>45833.0</v>
      </c>
      <c r="C172" s="478" t="s">
        <v>113</v>
      </c>
      <c r="D172" s="634" t="s">
        <v>250</v>
      </c>
      <c r="E172" s="103"/>
      <c r="F172" s="478" t="s">
        <v>115</v>
      </c>
      <c r="G172" s="478" t="s">
        <v>441</v>
      </c>
      <c r="H172" s="479"/>
      <c r="I172" s="495" t="s">
        <v>879</v>
      </c>
      <c r="J172" s="480" t="s">
        <v>146</v>
      </c>
      <c r="K172" s="589" t="s">
        <v>622</v>
      </c>
      <c r="L172" s="589" t="s">
        <v>623</v>
      </c>
      <c r="M172" s="638"/>
      <c r="N172" s="480" t="s">
        <v>119</v>
      </c>
      <c r="O172" s="480" t="s">
        <v>209</v>
      </c>
      <c r="P172" s="106">
        <v>160.0</v>
      </c>
      <c r="Q172" s="495" t="s">
        <v>601</v>
      </c>
      <c r="R172" s="471">
        <f t="shared" si="1"/>
        <v>1</v>
      </c>
      <c r="S172" s="464">
        <v>45923.0</v>
      </c>
      <c r="T172" s="484">
        <v>45923.0</v>
      </c>
      <c r="U172" s="485" t="str">
        <f t="shared" si="2"/>
        <v>90 days</v>
      </c>
      <c r="V172" s="486">
        <v>45833.0</v>
      </c>
      <c r="W172" s="471" t="s">
        <v>880</v>
      </c>
      <c r="X172" s="480" t="s">
        <v>131</v>
      </c>
      <c r="Y172" s="478" t="s">
        <v>132</v>
      </c>
      <c r="Z172" s="665"/>
      <c r="AA172" s="656"/>
      <c r="AB172" s="485" t="b">
        <v>1</v>
      </c>
      <c r="AC172" s="471" t="b">
        <v>1</v>
      </c>
      <c r="AD172" s="471" t="b">
        <v>1</v>
      </c>
      <c r="AE172" s="475" t="b">
        <v>1</v>
      </c>
      <c r="AF172" s="475" t="b">
        <v>1</v>
      </c>
      <c r="AG172" s="475" t="b">
        <v>0</v>
      </c>
      <c r="AH172" s="479"/>
      <c r="AI172" s="491">
        <f>750000*160</f>
        <v>120000000</v>
      </c>
      <c r="AJ172" s="491"/>
      <c r="AK172" s="478" t="s">
        <v>134</v>
      </c>
      <c r="AL172" s="478" t="s">
        <v>134</v>
      </c>
      <c r="AM172" s="478" t="s">
        <v>134</v>
      </c>
      <c r="AN172" s="478" t="s">
        <v>135</v>
      </c>
      <c r="AO172" s="499"/>
      <c r="AP172" s="499"/>
      <c r="AQ172" s="499"/>
      <c r="AR172" s="490" t="b">
        <v>0</v>
      </c>
      <c r="AS172" s="484" t="b">
        <v>0</v>
      </c>
      <c r="AT172" s="103"/>
      <c r="AU172" s="103"/>
      <c r="AV172" s="103"/>
    </row>
    <row r="173">
      <c r="A173" s="404"/>
      <c r="B173" s="477">
        <v>45911.0</v>
      </c>
      <c r="C173" s="506" t="s">
        <v>113</v>
      </c>
      <c r="D173" s="632" t="s">
        <v>136</v>
      </c>
      <c r="E173" s="106"/>
      <c r="F173" s="478" t="s">
        <v>115</v>
      </c>
      <c r="G173" s="478" t="s">
        <v>162</v>
      </c>
      <c r="H173" s="479"/>
      <c r="I173" s="495" t="s">
        <v>881</v>
      </c>
      <c r="J173" s="480" t="s">
        <v>118</v>
      </c>
      <c r="K173" s="469" t="s">
        <v>882</v>
      </c>
      <c r="L173" s="469"/>
      <c r="M173" s="638"/>
      <c r="N173" s="480" t="s">
        <v>119</v>
      </c>
      <c r="O173" s="480" t="s">
        <v>120</v>
      </c>
      <c r="P173" s="106">
        <v>20.0</v>
      </c>
      <c r="Q173" s="495" t="s">
        <v>415</v>
      </c>
      <c r="R173" s="471">
        <f t="shared" si="1"/>
        <v>1</v>
      </c>
      <c r="S173" s="502">
        <v>45923.0</v>
      </c>
      <c r="T173" s="484">
        <v>45923.0</v>
      </c>
      <c r="U173" s="485" t="str">
        <f t="shared" si="2"/>
        <v>80 days</v>
      </c>
      <c r="V173" s="486">
        <v>45843.0</v>
      </c>
      <c r="W173" s="471" t="s">
        <v>883</v>
      </c>
      <c r="X173" s="480" t="s">
        <v>29</v>
      </c>
      <c r="Y173" s="478" t="s">
        <v>29</v>
      </c>
      <c r="Z173" s="643"/>
      <c r="AA173" s="644"/>
      <c r="AB173" s="645" t="b">
        <v>1</v>
      </c>
      <c r="AC173" s="690" t="b">
        <v>1</v>
      </c>
      <c r="AD173" s="690" t="b">
        <v>0</v>
      </c>
      <c r="AE173" s="691" t="b">
        <v>0</v>
      </c>
      <c r="AF173" s="691" t="b">
        <v>0</v>
      </c>
      <c r="AG173" s="475" t="b">
        <v>0</v>
      </c>
      <c r="AH173" s="648"/>
      <c r="AI173" s="505">
        <v>9657000.0</v>
      </c>
      <c r="AJ173" s="505"/>
      <c r="AK173" s="512"/>
      <c r="AL173" s="512"/>
      <c r="AM173" s="512"/>
      <c r="AN173" s="478"/>
      <c r="AO173" s="499"/>
      <c r="AP173" s="499"/>
      <c r="AQ173" s="499"/>
      <c r="AR173" s="490" t="b">
        <v>0</v>
      </c>
      <c r="AS173" s="484" t="b">
        <v>0</v>
      </c>
      <c r="AT173" s="103"/>
      <c r="AU173" s="404"/>
      <c r="AV173" s="404"/>
    </row>
    <row r="174">
      <c r="A174" s="103"/>
      <c r="B174" s="554">
        <v>45901.0</v>
      </c>
      <c r="C174" s="555" t="s">
        <v>113</v>
      </c>
      <c r="D174" s="692" t="s">
        <v>250</v>
      </c>
      <c r="E174" s="556"/>
      <c r="F174" s="557" t="s">
        <v>115</v>
      </c>
      <c r="G174" s="557" t="s">
        <v>287</v>
      </c>
      <c r="H174" s="479"/>
      <c r="I174" s="693" t="s">
        <v>502</v>
      </c>
      <c r="J174" s="693" t="s">
        <v>118</v>
      </c>
      <c r="K174" s="694" t="s">
        <v>884</v>
      </c>
      <c r="L174" s="694"/>
      <c r="M174" s="695"/>
      <c r="N174" s="696" t="s">
        <v>119</v>
      </c>
      <c r="O174" s="696" t="s">
        <v>306</v>
      </c>
      <c r="P174" s="557">
        <v>110.0</v>
      </c>
      <c r="Q174" s="696" t="s">
        <v>885</v>
      </c>
      <c r="R174" s="471">
        <f t="shared" si="1"/>
        <v>3</v>
      </c>
      <c r="S174" s="564">
        <v>45925.0</v>
      </c>
      <c r="T174" s="565">
        <v>45927.0</v>
      </c>
      <c r="U174" s="485" t="str">
        <f t="shared" si="2"/>
        <v>24 days</v>
      </c>
      <c r="V174" s="587">
        <v>45901.0</v>
      </c>
      <c r="W174" s="471" t="s">
        <v>886</v>
      </c>
      <c r="X174" s="693" t="s">
        <v>29</v>
      </c>
      <c r="Y174" s="557" t="s">
        <v>29</v>
      </c>
      <c r="Z174" s="431"/>
      <c r="AA174" s="432"/>
      <c r="AB174" s="668" t="b">
        <v>0</v>
      </c>
      <c r="AC174" s="669" t="b">
        <v>0</v>
      </c>
      <c r="AD174" s="669" t="b">
        <v>0</v>
      </c>
      <c r="AE174" s="620" t="b">
        <v>0</v>
      </c>
      <c r="AF174" s="620" t="b">
        <v>0</v>
      </c>
      <c r="AG174" s="475" t="b">
        <v>0</v>
      </c>
      <c r="AH174" s="433"/>
      <c r="AI174" s="697">
        <v>8.8578E7</v>
      </c>
      <c r="AJ174" s="697"/>
      <c r="AK174" s="698"/>
      <c r="AL174" s="698"/>
      <c r="AM174" s="698"/>
      <c r="AN174" s="579"/>
      <c r="AO174" s="547"/>
      <c r="AP174" s="547"/>
      <c r="AQ174" s="547"/>
      <c r="AR174" s="490" t="b">
        <v>0</v>
      </c>
      <c r="AS174" s="484" t="b">
        <v>0</v>
      </c>
      <c r="AT174" s="103"/>
      <c r="AU174" s="103"/>
      <c r="AV174" s="103"/>
    </row>
    <row r="175">
      <c r="A175" s="404"/>
      <c r="B175" s="250">
        <v>45912.0</v>
      </c>
      <c r="C175" s="387" t="s">
        <v>113</v>
      </c>
      <c r="D175" s="388" t="s">
        <v>136</v>
      </c>
      <c r="E175" s="522"/>
      <c r="F175" s="251" t="s">
        <v>115</v>
      </c>
      <c r="G175" s="251" t="s">
        <v>162</v>
      </c>
      <c r="H175" s="166"/>
      <c r="I175" s="392" t="s">
        <v>887</v>
      </c>
      <c r="J175" s="261" t="s">
        <v>118</v>
      </c>
      <c r="K175" s="461" t="s">
        <v>888</v>
      </c>
      <c r="L175" s="461"/>
      <c r="M175" s="521"/>
      <c r="N175" s="261" t="s">
        <v>119</v>
      </c>
      <c r="O175" s="261" t="s">
        <v>120</v>
      </c>
      <c r="P175" s="522">
        <v>50.0</v>
      </c>
      <c r="Q175" s="392" t="s">
        <v>415</v>
      </c>
      <c r="R175" s="471">
        <f t="shared" si="1"/>
        <v>1</v>
      </c>
      <c r="S175" s="502">
        <v>45925.0</v>
      </c>
      <c r="T175" s="465">
        <v>45925.0</v>
      </c>
      <c r="U175" s="162" t="str">
        <f t="shared" si="2"/>
        <v>5 days</v>
      </c>
      <c r="V175" s="466">
        <v>45920.0</v>
      </c>
      <c r="W175" s="471" t="s">
        <v>889</v>
      </c>
      <c r="X175" s="480" t="s">
        <v>29</v>
      </c>
      <c r="Y175" s="251" t="s">
        <v>29</v>
      </c>
      <c r="Z175" s="394"/>
      <c r="AA175" s="395"/>
      <c r="AB175" s="396" t="b">
        <v>1</v>
      </c>
      <c r="AC175" s="397" t="b">
        <v>1</v>
      </c>
      <c r="AD175" s="397" t="b">
        <v>0</v>
      </c>
      <c r="AE175" s="398" t="b">
        <v>0</v>
      </c>
      <c r="AF175" s="398" t="b">
        <v>0</v>
      </c>
      <c r="AG175" s="475" t="b">
        <v>0</v>
      </c>
      <c r="AH175" s="399"/>
      <c r="AI175" s="401">
        <v>2.30325E7</v>
      </c>
      <c r="AJ175" s="401"/>
      <c r="AK175" s="402"/>
      <c r="AL175" s="402"/>
      <c r="AM175" s="402"/>
      <c r="AN175" s="251"/>
      <c r="AO175" s="403"/>
      <c r="AP175" s="403"/>
      <c r="AQ175" s="403"/>
      <c r="AR175" s="161" t="b">
        <v>0</v>
      </c>
      <c r="AS175" s="465" t="b">
        <v>0</v>
      </c>
      <c r="AT175" s="404"/>
      <c r="AU175" s="404"/>
      <c r="AV175" s="404"/>
    </row>
    <row r="176">
      <c r="A176" s="103"/>
      <c r="B176" s="250">
        <v>45910.0</v>
      </c>
      <c r="C176" s="387" t="s">
        <v>190</v>
      </c>
      <c r="D176" s="388" t="s">
        <v>136</v>
      </c>
      <c r="E176" s="522" t="s">
        <v>890</v>
      </c>
      <c r="F176" s="251" t="s">
        <v>357</v>
      </c>
      <c r="G176" s="251" t="s">
        <v>192</v>
      </c>
      <c r="H176" s="166"/>
      <c r="I176" s="392" t="s">
        <v>891</v>
      </c>
      <c r="J176" s="261" t="s">
        <v>118</v>
      </c>
      <c r="K176" s="461" t="s">
        <v>892</v>
      </c>
      <c r="L176" s="462" t="s">
        <v>893</v>
      </c>
      <c r="M176" s="521"/>
      <c r="N176" s="261" t="s">
        <v>155</v>
      </c>
      <c r="O176" s="261" t="s">
        <v>120</v>
      </c>
      <c r="P176" s="522">
        <v>130.0</v>
      </c>
      <c r="Q176" s="392" t="s">
        <v>706</v>
      </c>
      <c r="R176" s="471">
        <f t="shared" si="1"/>
        <v>1</v>
      </c>
      <c r="S176" s="502">
        <v>45926.0</v>
      </c>
      <c r="T176" s="465">
        <v>45926.0</v>
      </c>
      <c r="U176" s="162" t="str">
        <f t="shared" si="2"/>
        <v>15 days</v>
      </c>
      <c r="V176" s="466">
        <v>45911.0</v>
      </c>
      <c r="W176" s="471" t="s">
        <v>894</v>
      </c>
      <c r="X176" s="261" t="s">
        <v>131</v>
      </c>
      <c r="Y176" s="251" t="s">
        <v>132</v>
      </c>
      <c r="Z176" s="394"/>
      <c r="AA176" s="395"/>
      <c r="AB176" s="396" t="b">
        <v>1</v>
      </c>
      <c r="AC176" s="397" t="b">
        <v>1</v>
      </c>
      <c r="AD176" s="397" t="b">
        <v>1</v>
      </c>
      <c r="AE176" s="398" t="b">
        <v>1</v>
      </c>
      <c r="AF176" s="398" t="b">
        <v>0</v>
      </c>
      <c r="AG176" s="475" t="b">
        <v>0</v>
      </c>
      <c r="AH176" s="399"/>
      <c r="AI176" s="401">
        <v>2.99E7</v>
      </c>
      <c r="AJ176" s="401"/>
      <c r="AK176" s="402" t="s">
        <v>134</v>
      </c>
      <c r="AL176" s="402" t="s">
        <v>134</v>
      </c>
      <c r="AM176" s="402" t="s">
        <v>134</v>
      </c>
      <c r="AN176" s="251" t="s">
        <v>135</v>
      </c>
      <c r="AO176" s="443" t="s">
        <v>895</v>
      </c>
      <c r="AP176" s="403"/>
      <c r="AQ176" s="403"/>
      <c r="AR176" s="161" t="b">
        <v>1</v>
      </c>
      <c r="AS176" s="465" t="b">
        <v>0</v>
      </c>
      <c r="AT176" s="404"/>
      <c r="AU176" s="103"/>
      <c r="AV176" s="103"/>
    </row>
    <row r="177">
      <c r="A177" s="404"/>
      <c r="B177" s="477">
        <v>45913.0</v>
      </c>
      <c r="C177" s="506" t="s">
        <v>113</v>
      </c>
      <c r="D177" s="632" t="s">
        <v>136</v>
      </c>
      <c r="E177" s="106"/>
      <c r="F177" s="478" t="s">
        <v>115</v>
      </c>
      <c r="G177" s="478" t="s">
        <v>162</v>
      </c>
      <c r="H177" s="479"/>
      <c r="I177" s="495" t="s">
        <v>896</v>
      </c>
      <c r="J177" s="480" t="s">
        <v>118</v>
      </c>
      <c r="K177" s="481" t="s">
        <v>897</v>
      </c>
      <c r="L177" s="481"/>
      <c r="M177" s="497"/>
      <c r="N177" s="480" t="s">
        <v>182</v>
      </c>
      <c r="O177" s="480" t="s">
        <v>182</v>
      </c>
      <c r="P177" s="106">
        <v>0.0</v>
      </c>
      <c r="Q177" s="495" t="s">
        <v>415</v>
      </c>
      <c r="R177" s="471">
        <f t="shared" si="1"/>
        <v>2</v>
      </c>
      <c r="S177" s="502">
        <v>45926.0</v>
      </c>
      <c r="T177" s="484">
        <v>45927.0</v>
      </c>
      <c r="U177" s="485" t="str">
        <f t="shared" si="2"/>
        <v>10 days</v>
      </c>
      <c r="V177" s="486">
        <v>45916.0</v>
      </c>
      <c r="W177" s="471" t="s">
        <v>898</v>
      </c>
      <c r="X177" s="480" t="s">
        <v>131</v>
      </c>
      <c r="Y177" s="478" t="s">
        <v>132</v>
      </c>
      <c r="Z177" s="643"/>
      <c r="AA177" s="644"/>
      <c r="AB177" s="396" t="b">
        <v>1</v>
      </c>
      <c r="AC177" s="397" t="b">
        <v>0</v>
      </c>
      <c r="AD177" s="397" t="b">
        <v>0</v>
      </c>
      <c r="AE177" s="398" t="b">
        <v>1</v>
      </c>
      <c r="AF177" s="398" t="b">
        <v>0</v>
      </c>
      <c r="AG177" s="475" t="b">
        <v>0</v>
      </c>
      <c r="AH177" s="648"/>
      <c r="AI177" s="505">
        <v>2.30325E7</v>
      </c>
      <c r="AJ177" s="505"/>
      <c r="AK177" s="512" t="s">
        <v>134</v>
      </c>
      <c r="AL177" s="512" t="s">
        <v>134</v>
      </c>
      <c r="AM177" s="512" t="s">
        <v>134</v>
      </c>
      <c r="AN177" s="478" t="s">
        <v>135</v>
      </c>
      <c r="AO177" s="499"/>
      <c r="AP177" s="499"/>
      <c r="AQ177" s="499"/>
      <c r="AR177" s="490" t="b">
        <v>0</v>
      </c>
      <c r="AS177" s="484" t="b">
        <v>0</v>
      </c>
      <c r="AT177" s="103"/>
      <c r="AU177" s="404"/>
      <c r="AV177" s="404"/>
    </row>
    <row r="178">
      <c r="A178" s="103"/>
      <c r="B178" s="477">
        <v>45800.0</v>
      </c>
      <c r="C178" s="478" t="s">
        <v>113</v>
      </c>
      <c r="D178" s="634" t="s">
        <v>136</v>
      </c>
      <c r="E178" s="476"/>
      <c r="F178" s="478" t="s">
        <v>115</v>
      </c>
      <c r="G178" s="478" t="s">
        <v>162</v>
      </c>
      <c r="H178" s="479"/>
      <c r="I178" s="480" t="s">
        <v>899</v>
      </c>
      <c r="J178" s="480" t="s">
        <v>118</v>
      </c>
      <c r="K178" s="481" t="s">
        <v>900</v>
      </c>
      <c r="L178" s="533"/>
      <c r="M178" s="483"/>
      <c r="N178" s="480" t="s">
        <v>119</v>
      </c>
      <c r="O178" s="480" t="s">
        <v>120</v>
      </c>
      <c r="P178" s="478">
        <v>80.0</v>
      </c>
      <c r="Q178" s="480" t="s">
        <v>415</v>
      </c>
      <c r="R178" s="471">
        <f t="shared" si="1"/>
        <v>1</v>
      </c>
      <c r="S178" s="464">
        <v>45928.0</v>
      </c>
      <c r="T178" s="484">
        <v>45928.0</v>
      </c>
      <c r="U178" s="485" t="str">
        <f t="shared" si="2"/>
        <v>108 days</v>
      </c>
      <c r="V178" s="486">
        <v>45820.0</v>
      </c>
      <c r="W178" s="471" t="s">
        <v>901</v>
      </c>
      <c r="X178" s="480" t="s">
        <v>29</v>
      </c>
      <c r="Y178" s="478" t="s">
        <v>29</v>
      </c>
      <c r="Z178" s="655"/>
      <c r="AA178" s="656"/>
      <c r="AB178" s="162" t="b">
        <v>1</v>
      </c>
      <c r="AC178" s="175" t="b">
        <v>1</v>
      </c>
      <c r="AD178" s="272" t="b">
        <v>0</v>
      </c>
      <c r="AE178" s="181" t="b">
        <v>0</v>
      </c>
      <c r="AF178" s="181" t="b">
        <v>0</v>
      </c>
      <c r="AG178" s="475" t="b">
        <v>0</v>
      </c>
      <c r="AH178" s="479"/>
      <c r="AI178" s="491">
        <v>3.7185E7</v>
      </c>
      <c r="AJ178" s="491"/>
      <c r="AK178" s="476"/>
      <c r="AL178" s="476"/>
      <c r="AM178" s="476"/>
      <c r="AN178" s="476"/>
      <c r="AO178" s="492"/>
      <c r="AP178" s="492"/>
      <c r="AQ178" s="492"/>
      <c r="AR178" s="490" t="b">
        <v>0</v>
      </c>
      <c r="AS178" s="484" t="b">
        <v>0</v>
      </c>
      <c r="AT178" s="476"/>
      <c r="AU178" s="103"/>
      <c r="AV178" s="103"/>
    </row>
    <row r="179">
      <c r="A179" s="404"/>
      <c r="B179" s="250">
        <v>45884.0</v>
      </c>
      <c r="C179" s="387" t="s">
        <v>113</v>
      </c>
      <c r="D179" s="388" t="s">
        <v>136</v>
      </c>
      <c r="E179" s="522"/>
      <c r="F179" s="251" t="s">
        <v>115</v>
      </c>
      <c r="G179" s="251" t="s">
        <v>116</v>
      </c>
      <c r="H179" s="166"/>
      <c r="I179" s="392" t="s">
        <v>902</v>
      </c>
      <c r="J179" s="261" t="s">
        <v>118</v>
      </c>
      <c r="K179" s="461" t="s">
        <v>902</v>
      </c>
      <c r="L179" s="461"/>
      <c r="M179" s="521"/>
      <c r="N179" s="261" t="s">
        <v>155</v>
      </c>
      <c r="O179" s="261" t="s">
        <v>120</v>
      </c>
      <c r="P179" s="522">
        <v>50.0</v>
      </c>
      <c r="Q179" s="392" t="s">
        <v>903</v>
      </c>
      <c r="R179" s="471">
        <f t="shared" si="1"/>
        <v>1</v>
      </c>
      <c r="S179" s="464">
        <v>45930.0</v>
      </c>
      <c r="T179" s="465">
        <v>45930.0</v>
      </c>
      <c r="U179" s="162" t="str">
        <f t="shared" si="2"/>
        <v>46 days</v>
      </c>
      <c r="V179" s="466">
        <v>45884.0</v>
      </c>
      <c r="W179" s="471" t="s">
        <v>904</v>
      </c>
      <c r="X179" s="261" t="s">
        <v>29</v>
      </c>
      <c r="Y179" s="251" t="s">
        <v>29</v>
      </c>
      <c r="Z179" s="394"/>
      <c r="AA179" s="667" t="s">
        <v>189</v>
      </c>
      <c r="AB179" s="668" t="b">
        <v>0</v>
      </c>
      <c r="AC179" s="669" t="b">
        <v>0</v>
      </c>
      <c r="AD179" s="669" t="b">
        <v>0</v>
      </c>
      <c r="AE179" s="620" t="b">
        <v>0</v>
      </c>
      <c r="AF179" s="620" t="b">
        <v>0</v>
      </c>
      <c r="AG179" s="475" t="b">
        <v>0</v>
      </c>
      <c r="AH179" s="399"/>
      <c r="AI179" s="401">
        <v>2.35E7</v>
      </c>
      <c r="AJ179" s="401"/>
      <c r="AK179" s="402"/>
      <c r="AL179" s="402"/>
      <c r="AM179" s="402"/>
      <c r="AN179" s="251"/>
      <c r="AO179" s="403"/>
      <c r="AP179" s="403"/>
      <c r="AQ179" s="403"/>
      <c r="AR179" s="161" t="b">
        <v>0</v>
      </c>
      <c r="AS179" s="465" t="b">
        <v>0</v>
      </c>
      <c r="AT179" s="404"/>
      <c r="AU179" s="404"/>
      <c r="AV179" s="404"/>
    </row>
    <row r="180">
      <c r="A180" s="103"/>
      <c r="B180" s="554">
        <v>45907.0</v>
      </c>
      <c r="C180" s="555" t="s">
        <v>113</v>
      </c>
      <c r="D180" s="692" t="s">
        <v>652</v>
      </c>
      <c r="E180" s="579"/>
      <c r="F180" s="557" t="s">
        <v>153</v>
      </c>
      <c r="G180" s="557" t="s">
        <v>153</v>
      </c>
      <c r="H180" s="582"/>
      <c r="I180" s="693" t="s">
        <v>905</v>
      </c>
      <c r="J180" s="693"/>
      <c r="K180" s="699" t="s">
        <v>906</v>
      </c>
      <c r="L180" s="579"/>
      <c r="M180" s="585"/>
      <c r="N180" s="693" t="s">
        <v>155</v>
      </c>
      <c r="O180" s="693" t="s">
        <v>238</v>
      </c>
      <c r="P180" s="557">
        <v>30.0</v>
      </c>
      <c r="Q180" s="696"/>
      <c r="R180" s="471">
        <f t="shared" si="1"/>
        <v>1</v>
      </c>
      <c r="S180" s="700">
        <v>45931.0</v>
      </c>
      <c r="T180" s="701">
        <v>45931.0</v>
      </c>
      <c r="U180" s="566" t="str">
        <f t="shared" si="2"/>
        <v>15 days</v>
      </c>
      <c r="V180" s="587">
        <v>45916.0</v>
      </c>
      <c r="W180" s="471" t="s">
        <v>907</v>
      </c>
      <c r="X180" s="559" t="s">
        <v>29</v>
      </c>
      <c r="Y180" s="555" t="s">
        <v>29</v>
      </c>
      <c r="Z180" s="412"/>
      <c r="AA180" s="432"/>
      <c r="AB180" s="396" t="b">
        <v>0</v>
      </c>
      <c r="AC180" s="397" t="b">
        <v>0</v>
      </c>
      <c r="AD180" s="669" t="b">
        <v>0</v>
      </c>
      <c r="AE180" s="398" t="b">
        <v>0</v>
      </c>
      <c r="AF180" s="620" t="b">
        <v>0</v>
      </c>
      <c r="AG180" s="475" t="b">
        <v>0</v>
      </c>
      <c r="AH180" s="648"/>
      <c r="AI180" s="505"/>
      <c r="AJ180" s="107"/>
      <c r="AK180" s="436"/>
      <c r="AL180" s="436"/>
      <c r="AM180" s="436"/>
      <c r="AN180" s="436"/>
      <c r="AO180" s="438"/>
      <c r="AP180" s="438"/>
      <c r="AQ180" s="438"/>
      <c r="AR180" s="702" t="b">
        <v>0</v>
      </c>
      <c r="AS180" s="602" t="b">
        <v>0</v>
      </c>
      <c r="AT180" s="404"/>
      <c r="AU180" s="103"/>
      <c r="AV180" s="103"/>
    </row>
    <row r="181">
      <c r="A181" s="404"/>
      <c r="B181" s="554">
        <v>45911.0</v>
      </c>
      <c r="C181" s="555" t="s">
        <v>113</v>
      </c>
      <c r="D181" s="692" t="s">
        <v>250</v>
      </c>
      <c r="E181" s="556"/>
      <c r="F181" s="557" t="s">
        <v>115</v>
      </c>
      <c r="G181" s="557" t="s">
        <v>170</v>
      </c>
      <c r="H181" s="479"/>
      <c r="I181" s="693" t="s">
        <v>908</v>
      </c>
      <c r="J181" s="693" t="s">
        <v>118</v>
      </c>
      <c r="K181" s="703" t="s">
        <v>909</v>
      </c>
      <c r="L181" s="704" t="s">
        <v>910</v>
      </c>
      <c r="M181" s="705"/>
      <c r="N181" s="696" t="s">
        <v>182</v>
      </c>
      <c r="O181" s="696" t="s">
        <v>182</v>
      </c>
      <c r="P181" s="557">
        <v>1.0</v>
      </c>
      <c r="Q181" s="696" t="s">
        <v>911</v>
      </c>
      <c r="R181" s="471">
        <f t="shared" si="1"/>
        <v>3</v>
      </c>
      <c r="S181" s="564">
        <v>45937.0</v>
      </c>
      <c r="T181" s="565">
        <v>45939.0</v>
      </c>
      <c r="U181" s="485" t="str">
        <f t="shared" si="2"/>
        <v>19 days</v>
      </c>
      <c r="V181" s="587">
        <v>45918.0</v>
      </c>
      <c r="W181" s="471" t="s">
        <v>912</v>
      </c>
      <c r="X181" s="693" t="s">
        <v>29</v>
      </c>
      <c r="Y181" s="557" t="s">
        <v>29</v>
      </c>
      <c r="Z181" s="431"/>
      <c r="AA181" s="686" t="s">
        <v>160</v>
      </c>
      <c r="AB181" s="668" t="b">
        <v>0</v>
      </c>
      <c r="AC181" s="669" t="b">
        <v>0</v>
      </c>
      <c r="AD181" s="669" t="b">
        <v>0</v>
      </c>
      <c r="AE181" s="398" t="b">
        <v>1</v>
      </c>
      <c r="AF181" s="620" t="b">
        <v>0</v>
      </c>
      <c r="AG181" s="475" t="b">
        <v>0</v>
      </c>
      <c r="AH181" s="433"/>
      <c r="AI181" s="697">
        <v>1.76815E8</v>
      </c>
      <c r="AJ181" s="697"/>
      <c r="AK181" s="698"/>
      <c r="AL181" s="698"/>
      <c r="AM181" s="512"/>
      <c r="AN181" s="579"/>
      <c r="AO181" s="547"/>
      <c r="AP181" s="547"/>
      <c r="AQ181" s="547"/>
      <c r="AR181" s="490" t="b">
        <v>0</v>
      </c>
      <c r="AS181" s="484" t="b">
        <v>0</v>
      </c>
      <c r="AT181" s="103"/>
      <c r="AU181" s="404"/>
      <c r="AV181" s="404"/>
    </row>
    <row r="182">
      <c r="A182" s="103"/>
      <c r="B182" s="554">
        <v>45954.0</v>
      </c>
      <c r="C182" s="555" t="s">
        <v>113</v>
      </c>
      <c r="D182" s="692" t="s">
        <v>136</v>
      </c>
      <c r="E182" s="556"/>
      <c r="F182" s="557" t="s">
        <v>115</v>
      </c>
      <c r="G182" s="557" t="s">
        <v>170</v>
      </c>
      <c r="H182" s="479"/>
      <c r="I182" s="693" t="s">
        <v>913</v>
      </c>
      <c r="J182" s="693" t="s">
        <v>118</v>
      </c>
      <c r="K182" s="703" t="s">
        <v>909</v>
      </c>
      <c r="L182" s="704" t="s">
        <v>910</v>
      </c>
      <c r="M182" s="705"/>
      <c r="N182" s="696" t="s">
        <v>182</v>
      </c>
      <c r="O182" s="696" t="s">
        <v>182</v>
      </c>
      <c r="P182" s="557">
        <v>1.0</v>
      </c>
      <c r="Q182" s="696" t="s">
        <v>911</v>
      </c>
      <c r="R182" s="471">
        <f t="shared" si="1"/>
        <v>3</v>
      </c>
      <c r="S182" s="564">
        <v>45937.0</v>
      </c>
      <c r="T182" s="565">
        <v>45939.0</v>
      </c>
      <c r="U182" s="485" t="str">
        <f t="shared" si="2"/>
        <v>19 days</v>
      </c>
      <c r="V182" s="587">
        <v>45918.0</v>
      </c>
      <c r="W182" s="471" t="s">
        <v>914</v>
      </c>
      <c r="X182" s="693" t="s">
        <v>29</v>
      </c>
      <c r="Y182" s="557" t="s">
        <v>29</v>
      </c>
      <c r="Z182" s="431"/>
      <c r="AA182" s="686" t="s">
        <v>133</v>
      </c>
      <c r="AB182" s="668" t="b">
        <v>0</v>
      </c>
      <c r="AC182" s="669" t="b">
        <v>0</v>
      </c>
      <c r="AD182" s="669" t="b">
        <v>0</v>
      </c>
      <c r="AE182" s="398" t="b">
        <v>0</v>
      </c>
      <c r="AF182" s="620" t="b">
        <v>0</v>
      </c>
      <c r="AG182" s="475" t="b">
        <v>0</v>
      </c>
      <c r="AH182" s="433"/>
      <c r="AI182" s="697">
        <v>5.6166E7</v>
      </c>
      <c r="AJ182" s="697"/>
      <c r="AK182" s="698"/>
      <c r="AL182" s="698"/>
      <c r="AM182" s="512"/>
      <c r="AN182" s="579"/>
      <c r="AO182" s="547"/>
      <c r="AP182" s="547"/>
      <c r="AQ182" s="547"/>
      <c r="AR182" s="490" t="b">
        <v>0</v>
      </c>
      <c r="AS182" s="484" t="b">
        <v>0</v>
      </c>
      <c r="AT182" s="103"/>
      <c r="AU182" s="103"/>
      <c r="AV182" s="103"/>
    </row>
    <row r="183">
      <c r="A183" s="404"/>
      <c r="B183" s="689">
        <v>45833.0</v>
      </c>
      <c r="C183" s="478" t="s">
        <v>113</v>
      </c>
      <c r="D183" s="634" t="s">
        <v>250</v>
      </c>
      <c r="E183" s="103"/>
      <c r="F183" s="478" t="s">
        <v>115</v>
      </c>
      <c r="G183" s="478" t="s">
        <v>441</v>
      </c>
      <c r="H183" s="479"/>
      <c r="I183" s="495" t="s">
        <v>915</v>
      </c>
      <c r="J183" s="480" t="s">
        <v>146</v>
      </c>
      <c r="K183" s="706" t="s">
        <v>622</v>
      </c>
      <c r="L183" s="706" t="s">
        <v>623</v>
      </c>
      <c r="M183" s="497"/>
      <c r="N183" s="480" t="s">
        <v>119</v>
      </c>
      <c r="O183" s="480" t="s">
        <v>209</v>
      </c>
      <c r="P183" s="106">
        <v>160.0</v>
      </c>
      <c r="Q183" s="495" t="s">
        <v>601</v>
      </c>
      <c r="R183" s="471">
        <f t="shared" si="1"/>
        <v>1</v>
      </c>
      <c r="S183" s="464">
        <v>45938.0</v>
      </c>
      <c r="T183" s="484">
        <v>45938.0</v>
      </c>
      <c r="U183" s="485" t="str">
        <f t="shared" si="2"/>
        <v>105 days</v>
      </c>
      <c r="V183" s="486">
        <v>45833.0</v>
      </c>
      <c r="W183" s="471" t="s">
        <v>916</v>
      </c>
      <c r="X183" s="480" t="s">
        <v>131</v>
      </c>
      <c r="Y183" s="478" t="s">
        <v>132</v>
      </c>
      <c r="Z183" s="665"/>
      <c r="AA183" s="656"/>
      <c r="AB183" s="485" t="b">
        <v>0</v>
      </c>
      <c r="AC183" s="471" t="b">
        <v>0</v>
      </c>
      <c r="AD183" s="471" t="b">
        <v>0</v>
      </c>
      <c r="AE183" s="475" t="b">
        <v>0</v>
      </c>
      <c r="AF183" s="475" t="b">
        <v>0</v>
      </c>
      <c r="AG183" s="475" t="b">
        <v>0</v>
      </c>
      <c r="AH183" s="479"/>
      <c r="AI183" s="491">
        <f>750000*100</f>
        <v>75000000</v>
      </c>
      <c r="AJ183" s="491"/>
      <c r="AK183" s="478" t="s">
        <v>134</v>
      </c>
      <c r="AL183" s="478" t="s">
        <v>134</v>
      </c>
      <c r="AM183" s="478" t="s">
        <v>134</v>
      </c>
      <c r="AN183" s="478" t="s">
        <v>620</v>
      </c>
      <c r="AO183" s="499"/>
      <c r="AP183" s="499"/>
      <c r="AQ183" s="499"/>
      <c r="AR183" s="490" t="b">
        <v>0</v>
      </c>
      <c r="AS183" s="484" t="b">
        <v>0</v>
      </c>
      <c r="AT183" s="103"/>
      <c r="AU183" s="404"/>
      <c r="AV183" s="404"/>
    </row>
    <row r="184">
      <c r="A184" s="103"/>
      <c r="B184" s="554">
        <v>45931.0</v>
      </c>
      <c r="C184" s="555" t="s">
        <v>113</v>
      </c>
      <c r="D184" s="692" t="s">
        <v>250</v>
      </c>
      <c r="E184" s="579"/>
      <c r="F184" s="557" t="s">
        <v>115</v>
      </c>
      <c r="G184" s="557" t="s">
        <v>116</v>
      </c>
      <c r="H184" s="582"/>
      <c r="I184" s="693" t="s">
        <v>917</v>
      </c>
      <c r="J184" s="693" t="s">
        <v>118</v>
      </c>
      <c r="K184" s="707" t="s">
        <v>918</v>
      </c>
      <c r="L184" s="584"/>
      <c r="M184" s="585"/>
      <c r="N184" s="693" t="s">
        <v>119</v>
      </c>
      <c r="O184" s="693" t="s">
        <v>306</v>
      </c>
      <c r="P184" s="557">
        <v>73.0</v>
      </c>
      <c r="Q184" s="696" t="s">
        <v>768</v>
      </c>
      <c r="R184" s="471">
        <f t="shared" si="1"/>
        <v>1</v>
      </c>
      <c r="S184" s="708">
        <v>45939.0</v>
      </c>
      <c r="T184" s="701">
        <v>45939.0</v>
      </c>
      <c r="U184" s="566" t="str">
        <f t="shared" si="2"/>
        <v>8 days</v>
      </c>
      <c r="V184" s="587">
        <v>45931.0</v>
      </c>
      <c r="W184" s="471" t="s">
        <v>919</v>
      </c>
      <c r="X184" s="559" t="s">
        <v>29</v>
      </c>
      <c r="Y184" s="555" t="s">
        <v>29</v>
      </c>
      <c r="Z184" s="412"/>
      <c r="AA184" s="686" t="s">
        <v>123</v>
      </c>
      <c r="AB184" s="645" t="b">
        <v>0</v>
      </c>
      <c r="AC184" s="646" t="b">
        <v>0</v>
      </c>
      <c r="AD184" s="646" t="b">
        <v>0</v>
      </c>
      <c r="AE184" s="647" t="b">
        <v>0</v>
      </c>
      <c r="AF184" s="647" t="b">
        <v>0</v>
      </c>
      <c r="AG184" s="475" t="b">
        <v>0</v>
      </c>
      <c r="AH184" s="648"/>
      <c r="AI184" s="505">
        <v>6.3E7</v>
      </c>
      <c r="AJ184" s="107"/>
      <c r="AK184" s="436"/>
      <c r="AL184" s="436"/>
      <c r="AM184" s="436"/>
      <c r="AN184" s="436"/>
      <c r="AO184" s="438"/>
      <c r="AP184" s="438"/>
      <c r="AQ184" s="438"/>
      <c r="AR184" s="702" t="b">
        <v>0</v>
      </c>
      <c r="AS184" s="602" t="b">
        <v>0</v>
      </c>
      <c r="AT184" s="404"/>
      <c r="AU184" s="103"/>
      <c r="AV184" s="103"/>
    </row>
    <row r="185">
      <c r="A185" s="441"/>
      <c r="B185" s="554">
        <v>45930.0</v>
      </c>
      <c r="C185" s="581" t="s">
        <v>113</v>
      </c>
      <c r="D185" s="709" t="s">
        <v>136</v>
      </c>
      <c r="E185" s="579"/>
      <c r="F185" s="556" t="s">
        <v>115</v>
      </c>
      <c r="G185" s="556" t="s">
        <v>287</v>
      </c>
      <c r="H185" s="582"/>
      <c r="I185" s="693" t="s">
        <v>920</v>
      </c>
      <c r="J185" s="579" t="s">
        <v>118</v>
      </c>
      <c r="K185" s="707" t="s">
        <v>921</v>
      </c>
      <c r="L185" s="584"/>
      <c r="M185" s="585"/>
      <c r="N185" s="693" t="s">
        <v>119</v>
      </c>
      <c r="O185" s="693" t="s">
        <v>922</v>
      </c>
      <c r="P185" s="557">
        <v>80.0</v>
      </c>
      <c r="Q185" s="586" t="s">
        <v>415</v>
      </c>
      <c r="R185" s="471">
        <f t="shared" si="1"/>
        <v>1</v>
      </c>
      <c r="S185" s="564">
        <v>45940.0</v>
      </c>
      <c r="T185" s="565">
        <v>45940.0</v>
      </c>
      <c r="U185" s="566" t="str">
        <f t="shared" si="2"/>
        <v>10 days</v>
      </c>
      <c r="V185" s="587">
        <v>45930.0</v>
      </c>
      <c r="W185" s="471" t="s">
        <v>923</v>
      </c>
      <c r="X185" s="559" t="s">
        <v>29</v>
      </c>
      <c r="Y185" s="555" t="s">
        <v>29</v>
      </c>
      <c r="Z185" s="412"/>
      <c r="AA185" s="432"/>
      <c r="AB185" s="645" t="b">
        <v>1</v>
      </c>
      <c r="AC185" s="646" t="b">
        <v>0</v>
      </c>
      <c r="AD185" s="646" t="b">
        <v>0</v>
      </c>
      <c r="AE185" s="647" t="b">
        <v>0</v>
      </c>
      <c r="AF185" s="647" t="b">
        <v>0</v>
      </c>
      <c r="AG185" s="475" t="b">
        <v>0</v>
      </c>
      <c r="AH185" s="648"/>
      <c r="AI185" s="505">
        <v>3.5853E7</v>
      </c>
      <c r="AJ185" s="107"/>
      <c r="AK185" s="436"/>
      <c r="AL185" s="436"/>
      <c r="AM185" s="436"/>
      <c r="AN185" s="436"/>
      <c r="AO185" s="438"/>
      <c r="AP185" s="438"/>
      <c r="AQ185" s="438"/>
      <c r="AR185" s="702" t="b">
        <v>0</v>
      </c>
      <c r="AS185" s="602" t="b">
        <v>0</v>
      </c>
      <c r="AT185" s="404"/>
      <c r="AU185" s="441"/>
      <c r="AV185" s="441"/>
    </row>
    <row r="186">
      <c r="A186" s="103"/>
      <c r="B186" s="477">
        <v>45894.0</v>
      </c>
      <c r="C186" s="506" t="s">
        <v>113</v>
      </c>
      <c r="D186" s="632" t="s">
        <v>136</v>
      </c>
      <c r="E186" s="106"/>
      <c r="F186" s="478" t="s">
        <v>115</v>
      </c>
      <c r="G186" s="478" t="s">
        <v>170</v>
      </c>
      <c r="H186" s="479"/>
      <c r="I186" s="495" t="s">
        <v>924</v>
      </c>
      <c r="J186" s="480" t="s">
        <v>118</v>
      </c>
      <c r="K186" s="461" t="s">
        <v>925</v>
      </c>
      <c r="L186" s="461"/>
      <c r="M186" s="497"/>
      <c r="N186" s="480" t="s">
        <v>182</v>
      </c>
      <c r="O186" s="480" t="s">
        <v>182</v>
      </c>
      <c r="P186" s="106">
        <v>1.0</v>
      </c>
      <c r="Q186" s="495" t="s">
        <v>601</v>
      </c>
      <c r="R186" s="471">
        <f t="shared" si="1"/>
        <v>1</v>
      </c>
      <c r="S186" s="464">
        <v>45941.0</v>
      </c>
      <c r="T186" s="484">
        <v>45941.0</v>
      </c>
      <c r="U186" s="485" t="str">
        <f t="shared" si="2"/>
        <v>47 days</v>
      </c>
      <c r="V186" s="486">
        <v>45894.0</v>
      </c>
      <c r="W186" s="471" t="s">
        <v>926</v>
      </c>
      <c r="X186" s="480" t="s">
        <v>29</v>
      </c>
      <c r="Y186" s="478" t="s">
        <v>29</v>
      </c>
      <c r="Z186" s="643"/>
      <c r="AA186" s="644"/>
      <c r="AB186" s="710" t="b">
        <v>0</v>
      </c>
      <c r="AC186" s="646" t="b">
        <v>0</v>
      </c>
      <c r="AD186" s="646" t="b">
        <v>0</v>
      </c>
      <c r="AE186" s="647" t="b">
        <v>0</v>
      </c>
      <c r="AF186" s="647" t="b">
        <v>0</v>
      </c>
      <c r="AG186" s="475" t="b">
        <v>0</v>
      </c>
      <c r="AH186" s="648"/>
      <c r="AI186" s="505">
        <v>3.60195E7</v>
      </c>
      <c r="AJ186" s="505"/>
      <c r="AK186" s="512"/>
      <c r="AL186" s="512"/>
      <c r="AM186" s="512"/>
      <c r="AN186" s="478"/>
      <c r="AO186" s="499"/>
      <c r="AP186" s="499"/>
      <c r="AQ186" s="499"/>
      <c r="AR186" s="490" t="b">
        <v>0</v>
      </c>
      <c r="AS186" s="484" t="b">
        <v>0</v>
      </c>
      <c r="AT186" s="103"/>
      <c r="AU186" s="103"/>
      <c r="AV186" s="103"/>
    </row>
    <row r="187">
      <c r="A187" s="404"/>
      <c r="B187" s="413">
        <v>45912.0</v>
      </c>
      <c r="C187" s="414" t="s">
        <v>113</v>
      </c>
      <c r="D187" s="415" t="s">
        <v>652</v>
      </c>
      <c r="E187" s="594"/>
      <c r="F187" s="387" t="s">
        <v>170</v>
      </c>
      <c r="G187" s="387" t="s">
        <v>170</v>
      </c>
      <c r="H187" s="166"/>
      <c r="I187" s="402" t="s">
        <v>927</v>
      </c>
      <c r="J187" s="402" t="s">
        <v>118</v>
      </c>
      <c r="K187" s="694" t="s">
        <v>928</v>
      </c>
      <c r="L187" s="711" t="s">
        <v>929</v>
      </c>
      <c r="M187" s="590"/>
      <c r="N187" s="675" t="s">
        <v>119</v>
      </c>
      <c r="O187" s="675" t="s">
        <v>120</v>
      </c>
      <c r="P187" s="387">
        <v>40.0</v>
      </c>
      <c r="Q187" s="675" t="s">
        <v>930</v>
      </c>
      <c r="R187" s="471">
        <f t="shared" si="1"/>
        <v>1</v>
      </c>
      <c r="S187" s="564">
        <v>45941.0</v>
      </c>
      <c r="T187" s="598">
        <v>45941.0</v>
      </c>
      <c r="U187" s="162" t="str">
        <f t="shared" si="2"/>
        <v>29 days</v>
      </c>
      <c r="V187" s="712">
        <v>45912.0</v>
      </c>
      <c r="W187" s="471" t="s">
        <v>931</v>
      </c>
      <c r="X187" s="402" t="s">
        <v>29</v>
      </c>
      <c r="Y187" s="387" t="s">
        <v>29</v>
      </c>
      <c r="Z187" s="431"/>
      <c r="AA187" s="686" t="s">
        <v>160</v>
      </c>
      <c r="AB187" s="668" t="b">
        <v>0</v>
      </c>
      <c r="AC187" s="669" t="b">
        <v>0</v>
      </c>
      <c r="AD187" s="669" t="b">
        <v>0</v>
      </c>
      <c r="AE187" s="620" t="b">
        <v>0</v>
      </c>
      <c r="AF187" s="620" t="b">
        <v>0</v>
      </c>
      <c r="AG187" s="475" t="b">
        <v>0</v>
      </c>
      <c r="AH187" s="433"/>
      <c r="AI187" s="680">
        <v>1.554E7</v>
      </c>
      <c r="AJ187" s="680"/>
      <c r="AK187" s="568"/>
      <c r="AL187" s="568"/>
      <c r="AM187" s="568"/>
      <c r="AN187" s="441"/>
      <c r="AO187" s="713"/>
      <c r="AP187" s="713"/>
      <c r="AQ187" s="713"/>
      <c r="AR187" s="161" t="b">
        <v>0</v>
      </c>
      <c r="AS187" s="465" t="b">
        <v>0</v>
      </c>
      <c r="AT187" s="404"/>
      <c r="AU187" s="404"/>
      <c r="AV187" s="404"/>
    </row>
    <row r="188">
      <c r="A188" s="103"/>
      <c r="B188" s="250">
        <v>45864.0</v>
      </c>
      <c r="C188" s="251" t="s">
        <v>113</v>
      </c>
      <c r="D188" s="252" t="s">
        <v>250</v>
      </c>
      <c r="E188" s="251"/>
      <c r="F188" s="251" t="s">
        <v>115</v>
      </c>
      <c r="G188" s="251" t="s">
        <v>170</v>
      </c>
      <c r="H188" s="166"/>
      <c r="I188" s="261" t="s">
        <v>932</v>
      </c>
      <c r="J188" s="261" t="s">
        <v>118</v>
      </c>
      <c r="K188" s="461" t="s">
        <v>313</v>
      </c>
      <c r="L188" s="461"/>
      <c r="M188" s="463"/>
      <c r="N188" s="261" t="s">
        <v>119</v>
      </c>
      <c r="O188" s="261" t="s">
        <v>166</v>
      </c>
      <c r="P188" s="251">
        <v>120.0</v>
      </c>
      <c r="Q188" s="261" t="s">
        <v>933</v>
      </c>
      <c r="R188" s="471">
        <f t="shared" si="1"/>
        <v>1</v>
      </c>
      <c r="S188" s="464">
        <v>45946.0</v>
      </c>
      <c r="T188" s="465">
        <v>45946.0</v>
      </c>
      <c r="U188" s="162" t="str">
        <f t="shared" si="2"/>
        <v>82 days</v>
      </c>
      <c r="V188" s="466">
        <v>45864.0</v>
      </c>
      <c r="W188" s="471" t="s">
        <v>934</v>
      </c>
      <c r="X188" s="261" t="s">
        <v>29</v>
      </c>
      <c r="Y188" s="251" t="s">
        <v>29</v>
      </c>
      <c r="Z188" s="172"/>
      <c r="AA188" s="264"/>
      <c r="AB188" s="302" t="b">
        <v>0</v>
      </c>
      <c r="AC188" s="272" t="b">
        <v>0</v>
      </c>
      <c r="AD188" s="272" t="b">
        <v>0</v>
      </c>
      <c r="AE188" s="181" t="b">
        <v>0</v>
      </c>
      <c r="AF188" s="181" t="b">
        <v>0</v>
      </c>
      <c r="AG188" s="475" t="b">
        <v>0</v>
      </c>
      <c r="AH188" s="166"/>
      <c r="AI188" s="266">
        <v>1.66019315E8</v>
      </c>
      <c r="AJ188" s="266"/>
      <c r="AK188" s="270"/>
      <c r="AL188" s="270"/>
      <c r="AM188" s="270"/>
      <c r="AN188" s="270"/>
      <c r="AO188" s="269"/>
      <c r="AP188" s="269"/>
      <c r="AQ188" s="269"/>
      <c r="AR188" s="161" t="b">
        <v>0</v>
      </c>
      <c r="AS188" s="465" t="b">
        <v>0</v>
      </c>
      <c r="AT188" s="270"/>
      <c r="AU188" s="103"/>
      <c r="AV188" s="103"/>
    </row>
    <row r="189">
      <c r="A189" s="404"/>
      <c r="B189" s="413">
        <v>45929.0</v>
      </c>
      <c r="C189" s="414" t="s">
        <v>113</v>
      </c>
      <c r="D189" s="415" t="s">
        <v>143</v>
      </c>
      <c r="E189" s="387" t="s">
        <v>935</v>
      </c>
      <c r="F189" s="387" t="s">
        <v>162</v>
      </c>
      <c r="G189" s="387" t="s">
        <v>162</v>
      </c>
      <c r="H189" s="166"/>
      <c r="I189" s="595" t="s">
        <v>502</v>
      </c>
      <c r="J189" s="436" t="s">
        <v>146</v>
      </c>
      <c r="K189" s="596" t="s">
        <v>936</v>
      </c>
      <c r="L189" s="714"/>
      <c r="M189" s="569"/>
      <c r="N189" s="436" t="s">
        <v>119</v>
      </c>
      <c r="O189" s="436" t="s">
        <v>166</v>
      </c>
      <c r="P189" s="414">
        <v>78.0</v>
      </c>
      <c r="Q189" s="425" t="s">
        <v>937</v>
      </c>
      <c r="R189" s="471">
        <f t="shared" si="1"/>
        <v>2</v>
      </c>
      <c r="S189" s="564">
        <v>45947.0</v>
      </c>
      <c r="T189" s="598">
        <v>45948.0</v>
      </c>
      <c r="U189" s="428" t="str">
        <f t="shared" si="2"/>
        <v>18 days</v>
      </c>
      <c r="V189" s="599">
        <v>45929.0</v>
      </c>
      <c r="W189" s="471" t="s">
        <v>938</v>
      </c>
      <c r="X189" s="436" t="s">
        <v>29</v>
      </c>
      <c r="Y189" s="414" t="s">
        <v>29</v>
      </c>
      <c r="Z189" s="431"/>
      <c r="AA189" s="432"/>
      <c r="AB189" s="396" t="b">
        <v>1</v>
      </c>
      <c r="AC189" s="397" t="b">
        <v>0</v>
      </c>
      <c r="AD189" s="397" t="b">
        <v>0</v>
      </c>
      <c r="AE189" s="398" t="b">
        <v>0</v>
      </c>
      <c r="AF189" s="620" t="b">
        <v>0</v>
      </c>
      <c r="AG189" s="475" t="b">
        <v>0</v>
      </c>
      <c r="AH189" s="433"/>
      <c r="AI189" s="600">
        <v>1.68308745E8</v>
      </c>
      <c r="AJ189" s="435"/>
      <c r="AK189" s="568"/>
      <c r="AL189" s="568"/>
      <c r="AM189" s="568"/>
      <c r="AN189" s="568"/>
      <c r="AO189" s="438"/>
      <c r="AP189" s="438"/>
      <c r="AQ189" s="438"/>
      <c r="AR189" s="702" t="b">
        <v>0</v>
      </c>
      <c r="AS189" s="602" t="b">
        <v>0</v>
      </c>
      <c r="AT189" s="441"/>
      <c r="AU189" s="404"/>
      <c r="AV189" s="404"/>
    </row>
    <row r="190">
      <c r="A190" s="103"/>
      <c r="B190" s="554">
        <v>45932.0</v>
      </c>
      <c r="C190" s="555" t="s">
        <v>190</v>
      </c>
      <c r="D190" s="692" t="s">
        <v>136</v>
      </c>
      <c r="E190" s="693" t="s">
        <v>939</v>
      </c>
      <c r="F190" s="557" t="s">
        <v>115</v>
      </c>
      <c r="G190" s="557" t="s">
        <v>192</v>
      </c>
      <c r="H190" s="582"/>
      <c r="I190" s="693" t="s">
        <v>367</v>
      </c>
      <c r="J190" s="693" t="s">
        <v>118</v>
      </c>
      <c r="K190" s="715" t="s">
        <v>940</v>
      </c>
      <c r="L190" s="402"/>
      <c r="M190" s="585"/>
      <c r="N190" s="693" t="s">
        <v>155</v>
      </c>
      <c r="O190" s="693" t="s">
        <v>196</v>
      </c>
      <c r="P190" s="557">
        <v>106.0</v>
      </c>
      <c r="Q190" s="696" t="s">
        <v>941</v>
      </c>
      <c r="R190" s="471">
        <f t="shared" si="1"/>
        <v>1</v>
      </c>
      <c r="S190" s="564">
        <v>45947.0</v>
      </c>
      <c r="T190" s="565">
        <v>45947.0</v>
      </c>
      <c r="U190" s="566" t="str">
        <f t="shared" si="2"/>
        <v>15 days</v>
      </c>
      <c r="V190" s="587">
        <v>45932.0</v>
      </c>
      <c r="W190" s="471" t="s">
        <v>942</v>
      </c>
      <c r="X190" s="559" t="s">
        <v>29</v>
      </c>
      <c r="Y190" s="555" t="s">
        <v>29</v>
      </c>
      <c r="Z190" s="412"/>
      <c r="AA190" s="686" t="s">
        <v>123</v>
      </c>
      <c r="AB190" s="645" t="b">
        <v>0</v>
      </c>
      <c r="AC190" s="646" t="b">
        <v>0</v>
      </c>
      <c r="AD190" s="646" t="b">
        <v>0</v>
      </c>
      <c r="AE190" s="647" t="b">
        <v>0</v>
      </c>
      <c r="AF190" s="647" t="b">
        <v>0</v>
      </c>
      <c r="AG190" s="475" t="b">
        <v>0</v>
      </c>
      <c r="AH190" s="648"/>
      <c r="AI190" s="505">
        <v>9.245E7</v>
      </c>
      <c r="AJ190" s="107"/>
      <c r="AK190" s="436"/>
      <c r="AL190" s="436"/>
      <c r="AM190" s="436"/>
      <c r="AN190" s="436"/>
      <c r="AO190" s="438"/>
      <c r="AP190" s="438"/>
      <c r="AQ190" s="438"/>
      <c r="AR190" s="702" t="b">
        <v>0</v>
      </c>
      <c r="AS190" s="602" t="b">
        <v>0</v>
      </c>
      <c r="AT190" s="404"/>
      <c r="AU190" s="103"/>
      <c r="AV190" s="103"/>
    </row>
    <row r="191">
      <c r="A191" s="404"/>
      <c r="B191" s="554">
        <v>45919.0</v>
      </c>
      <c r="C191" s="555" t="s">
        <v>113</v>
      </c>
      <c r="D191" s="692" t="s">
        <v>136</v>
      </c>
      <c r="E191" s="557"/>
      <c r="F191" s="557" t="s">
        <v>115</v>
      </c>
      <c r="G191" s="557" t="s">
        <v>441</v>
      </c>
      <c r="H191" s="479"/>
      <c r="I191" s="558" t="s">
        <v>943</v>
      </c>
      <c r="J191" s="559" t="s">
        <v>118</v>
      </c>
      <c r="K191" s="716"/>
      <c r="L191" s="717"/>
      <c r="M191" s="562"/>
      <c r="N191" s="559" t="s">
        <v>119</v>
      </c>
      <c r="O191" s="559" t="s">
        <v>166</v>
      </c>
      <c r="P191" s="555">
        <v>800.0</v>
      </c>
      <c r="Q191" s="563" t="s">
        <v>601</v>
      </c>
      <c r="R191" s="471">
        <f t="shared" si="1"/>
        <v>1</v>
      </c>
      <c r="S191" s="564">
        <v>45948.0</v>
      </c>
      <c r="T191" s="565">
        <v>45948.0</v>
      </c>
      <c r="U191" s="566" t="str">
        <f t="shared" si="2"/>
        <v>18 days</v>
      </c>
      <c r="V191" s="567">
        <v>45930.0</v>
      </c>
      <c r="W191" s="471" t="s">
        <v>944</v>
      </c>
      <c r="X191" s="559" t="s">
        <v>29</v>
      </c>
      <c r="Y191" s="555" t="s">
        <v>29</v>
      </c>
      <c r="Z191" s="431"/>
      <c r="AA191" s="432"/>
      <c r="AB191" s="396" t="b">
        <v>0</v>
      </c>
      <c r="AC191" s="397" t="b">
        <v>1</v>
      </c>
      <c r="AD191" s="397" t="b">
        <v>0</v>
      </c>
      <c r="AE191" s="398" t="b">
        <v>0</v>
      </c>
      <c r="AF191" s="620" t="b">
        <v>0</v>
      </c>
      <c r="AG191" s="475" t="b">
        <v>0</v>
      </c>
      <c r="AH191" s="433"/>
      <c r="AI191" s="573">
        <v>1.06335721E9</v>
      </c>
      <c r="AJ191" s="574"/>
      <c r="AK191" s="698"/>
      <c r="AL191" s="698"/>
      <c r="AM191" s="698"/>
      <c r="AN191" s="698"/>
      <c r="AO191" s="576"/>
      <c r="AP191" s="576"/>
      <c r="AQ191" s="576"/>
      <c r="AR191" s="588" t="b">
        <v>0</v>
      </c>
      <c r="AS191" s="578" t="b">
        <v>0</v>
      </c>
      <c r="AT191" s="579"/>
      <c r="AU191" s="404"/>
      <c r="AV191" s="404"/>
    </row>
    <row r="192">
      <c r="A192" s="103"/>
      <c r="B192" s="554">
        <v>45941.0</v>
      </c>
      <c r="C192" s="555" t="s">
        <v>190</v>
      </c>
      <c r="D192" s="692" t="s">
        <v>136</v>
      </c>
      <c r="E192" s="693" t="s">
        <v>945</v>
      </c>
      <c r="F192" s="557" t="s">
        <v>115</v>
      </c>
      <c r="G192" s="557" t="s">
        <v>192</v>
      </c>
      <c r="H192" s="582"/>
      <c r="I192" s="693" t="s">
        <v>946</v>
      </c>
      <c r="J192" s="693" t="s">
        <v>155</v>
      </c>
      <c r="K192" s="699"/>
      <c r="L192" s="693"/>
      <c r="M192" s="585"/>
      <c r="N192" s="693" t="s">
        <v>155</v>
      </c>
      <c r="O192" s="693" t="s">
        <v>196</v>
      </c>
      <c r="P192" s="557">
        <v>28.0</v>
      </c>
      <c r="Q192" s="696" t="s">
        <v>947</v>
      </c>
      <c r="R192" s="471">
        <f t="shared" si="1"/>
        <v>1</v>
      </c>
      <c r="S192" s="708">
        <v>45948.0</v>
      </c>
      <c r="T192" s="701">
        <v>45948.0</v>
      </c>
      <c r="U192" s="566" t="str">
        <f t="shared" si="2"/>
        <v>7 days</v>
      </c>
      <c r="V192" s="587">
        <v>45941.0</v>
      </c>
      <c r="W192" s="471" t="s">
        <v>948</v>
      </c>
      <c r="X192" s="559" t="s">
        <v>131</v>
      </c>
      <c r="Y192" s="555" t="s">
        <v>132</v>
      </c>
      <c r="Z192" s="412"/>
      <c r="AA192" s="432"/>
      <c r="AB192" s="645" t="b">
        <v>1</v>
      </c>
      <c r="AC192" s="690" t="b">
        <v>0</v>
      </c>
      <c r="AD192" s="690" t="b">
        <v>1</v>
      </c>
      <c r="AE192" s="691" t="b">
        <v>1</v>
      </c>
      <c r="AF192" s="647" t="b">
        <v>0</v>
      </c>
      <c r="AG192" s="475" t="b">
        <v>0</v>
      </c>
      <c r="AH192" s="648"/>
      <c r="AI192" s="505">
        <v>2800000.0</v>
      </c>
      <c r="AJ192" s="107"/>
      <c r="AK192" s="436" t="s">
        <v>134</v>
      </c>
      <c r="AL192" s="436" t="s">
        <v>134</v>
      </c>
      <c r="AM192" s="436" t="s">
        <v>134</v>
      </c>
      <c r="AN192" s="436" t="s">
        <v>135</v>
      </c>
      <c r="AO192" s="438"/>
      <c r="AP192" s="438"/>
      <c r="AQ192" s="438"/>
      <c r="AR192" s="702" t="b">
        <v>0</v>
      </c>
      <c r="AS192" s="602" t="b">
        <v>0</v>
      </c>
      <c r="AT192" s="404"/>
      <c r="AU192" s="103"/>
      <c r="AV192" s="103"/>
    </row>
    <row r="193">
      <c r="A193" s="404"/>
      <c r="B193" s="250">
        <v>45833.0</v>
      </c>
      <c r="C193" s="251" t="s">
        <v>113</v>
      </c>
      <c r="D193" s="252" t="s">
        <v>250</v>
      </c>
      <c r="E193" s="404"/>
      <c r="F193" s="251" t="s">
        <v>115</v>
      </c>
      <c r="G193" s="251" t="s">
        <v>441</v>
      </c>
      <c r="H193" s="166"/>
      <c r="I193" s="392" t="s">
        <v>949</v>
      </c>
      <c r="J193" s="261" t="s">
        <v>146</v>
      </c>
      <c r="K193" s="589" t="s">
        <v>622</v>
      </c>
      <c r="L193" s="589" t="s">
        <v>623</v>
      </c>
      <c r="M193" s="521"/>
      <c r="N193" s="261" t="s">
        <v>119</v>
      </c>
      <c r="O193" s="261" t="s">
        <v>209</v>
      </c>
      <c r="P193" s="522">
        <v>160.0</v>
      </c>
      <c r="Q193" s="392" t="s">
        <v>601</v>
      </c>
      <c r="R193" s="471">
        <f t="shared" si="1"/>
        <v>1</v>
      </c>
      <c r="S193" s="464">
        <v>45951.0</v>
      </c>
      <c r="T193" s="465">
        <v>45951.0</v>
      </c>
      <c r="U193" s="162" t="str">
        <f t="shared" si="2"/>
        <v>118 days</v>
      </c>
      <c r="V193" s="466">
        <v>45833.0</v>
      </c>
      <c r="W193" s="471" t="s">
        <v>950</v>
      </c>
      <c r="X193" s="261" t="s">
        <v>131</v>
      </c>
      <c r="Y193" s="251" t="s">
        <v>132</v>
      </c>
      <c r="Z193" s="412"/>
      <c r="AA193" s="264"/>
      <c r="AB193" s="162" t="b">
        <v>0</v>
      </c>
      <c r="AC193" s="175" t="b">
        <v>0</v>
      </c>
      <c r="AD193" s="175" t="b">
        <v>0</v>
      </c>
      <c r="AE193" s="180" t="b">
        <v>0</v>
      </c>
      <c r="AF193" s="180" t="b">
        <v>0</v>
      </c>
      <c r="AG193" s="475" t="b">
        <v>0</v>
      </c>
      <c r="AH193" s="166"/>
      <c r="AI193" s="266">
        <f>750000*160</f>
        <v>120000000</v>
      </c>
      <c r="AJ193" s="266"/>
      <c r="AK193" s="251" t="s">
        <v>134</v>
      </c>
      <c r="AL193" s="251" t="s">
        <v>134</v>
      </c>
      <c r="AM193" s="251" t="s">
        <v>134</v>
      </c>
      <c r="AN193" s="251" t="s">
        <v>135</v>
      </c>
      <c r="AO193" s="403"/>
      <c r="AP193" s="403"/>
      <c r="AQ193" s="403"/>
      <c r="AR193" s="161" t="b">
        <v>0</v>
      </c>
      <c r="AS193" s="465" t="b">
        <v>0</v>
      </c>
      <c r="AT193" s="404"/>
      <c r="AU193" s="404"/>
      <c r="AV193" s="404"/>
    </row>
    <row r="194">
      <c r="A194" s="103"/>
      <c r="B194" s="413">
        <v>45910.0</v>
      </c>
      <c r="C194" s="414" t="s">
        <v>113</v>
      </c>
      <c r="D194" s="415" t="s">
        <v>136</v>
      </c>
      <c r="E194" s="594"/>
      <c r="F194" s="387" t="s">
        <v>115</v>
      </c>
      <c r="G194" s="387" t="s">
        <v>170</v>
      </c>
      <c r="H194" s="166"/>
      <c r="I194" s="402" t="s">
        <v>342</v>
      </c>
      <c r="J194" s="402" t="s">
        <v>118</v>
      </c>
      <c r="K194" s="718" t="s">
        <v>951</v>
      </c>
      <c r="L194" s="711" t="s">
        <v>870</v>
      </c>
      <c r="M194" s="590"/>
      <c r="N194" s="675" t="s">
        <v>119</v>
      </c>
      <c r="O194" s="675" t="s">
        <v>120</v>
      </c>
      <c r="P194" s="387">
        <v>15.0</v>
      </c>
      <c r="Q194" s="675" t="s">
        <v>167</v>
      </c>
      <c r="R194" s="471">
        <f t="shared" si="1"/>
        <v>1</v>
      </c>
      <c r="S194" s="564">
        <v>45952.0</v>
      </c>
      <c r="T194" s="598">
        <v>45952.0</v>
      </c>
      <c r="U194" s="162" t="str">
        <f t="shared" si="2"/>
        <v>42 days</v>
      </c>
      <c r="V194" s="712">
        <v>45910.0</v>
      </c>
      <c r="W194" s="471" t="s">
        <v>952</v>
      </c>
      <c r="X194" s="402" t="s">
        <v>131</v>
      </c>
      <c r="Y194" s="387" t="s">
        <v>132</v>
      </c>
      <c r="Z194" s="431"/>
      <c r="AA194" s="432"/>
      <c r="AB194" s="396" t="b">
        <v>1</v>
      </c>
      <c r="AC194" s="397" t="b">
        <v>1</v>
      </c>
      <c r="AD194" s="397" t="b">
        <v>1</v>
      </c>
      <c r="AE194" s="398" t="b">
        <v>1</v>
      </c>
      <c r="AF194" s="398" t="b">
        <v>1</v>
      </c>
      <c r="AG194" s="475" t="b">
        <v>1</v>
      </c>
      <c r="AH194" s="433"/>
      <c r="AI194" s="680">
        <v>3.997554E7</v>
      </c>
      <c r="AJ194" s="680"/>
      <c r="AK194" s="436" t="s">
        <v>134</v>
      </c>
      <c r="AL194" s="436" t="s">
        <v>134</v>
      </c>
      <c r="AM194" s="436" t="s">
        <v>134</v>
      </c>
      <c r="AN194" s="402" t="s">
        <v>135</v>
      </c>
      <c r="AO194" s="719" t="s">
        <v>953</v>
      </c>
      <c r="AP194" s="713"/>
      <c r="AQ194" s="713"/>
      <c r="AR194" s="161" t="b">
        <v>0</v>
      </c>
      <c r="AS194" s="465" t="b">
        <v>0</v>
      </c>
      <c r="AT194" s="404"/>
      <c r="AU194" s="103"/>
      <c r="AV194" s="103"/>
    </row>
    <row r="195">
      <c r="A195" s="404"/>
      <c r="B195" s="477">
        <v>45943.0</v>
      </c>
      <c r="C195" s="506" t="s">
        <v>190</v>
      </c>
      <c r="D195" s="720" t="s">
        <v>114</v>
      </c>
      <c r="E195" s="103"/>
      <c r="F195" s="478" t="s">
        <v>357</v>
      </c>
      <c r="G195" s="478" t="s">
        <v>192</v>
      </c>
      <c r="H195" s="479"/>
      <c r="I195" s="495" t="s">
        <v>744</v>
      </c>
      <c r="J195" s="480" t="s">
        <v>118</v>
      </c>
      <c r="K195" s="481" t="s">
        <v>745</v>
      </c>
      <c r="L195" s="482" t="s">
        <v>746</v>
      </c>
      <c r="M195" s="507"/>
      <c r="N195" s="480" t="s">
        <v>345</v>
      </c>
      <c r="O195" s="480" t="s">
        <v>166</v>
      </c>
      <c r="P195" s="106">
        <v>19.0</v>
      </c>
      <c r="Q195" s="495" t="s">
        <v>954</v>
      </c>
      <c r="R195" s="471">
        <f t="shared" si="1"/>
        <v>2</v>
      </c>
      <c r="S195" s="464">
        <v>45953.0</v>
      </c>
      <c r="T195" s="484">
        <v>45954.0</v>
      </c>
      <c r="U195" s="485" t="str">
        <f t="shared" si="2"/>
        <v>10 days</v>
      </c>
      <c r="V195" s="486">
        <v>45943.0</v>
      </c>
      <c r="W195" s="471" t="s">
        <v>955</v>
      </c>
      <c r="X195" s="480" t="s">
        <v>131</v>
      </c>
      <c r="Y195" s="478" t="s">
        <v>132</v>
      </c>
      <c r="Z195" s="643"/>
      <c r="AA195" s="644"/>
      <c r="AB195" s="645" t="b">
        <v>1</v>
      </c>
      <c r="AC195" s="690" t="b">
        <v>1</v>
      </c>
      <c r="AD195" s="690" t="b">
        <v>1</v>
      </c>
      <c r="AE195" s="691" t="b">
        <v>1</v>
      </c>
      <c r="AF195" s="691" t="b">
        <v>1</v>
      </c>
      <c r="AG195" s="475" t="b">
        <v>0</v>
      </c>
      <c r="AH195" s="648"/>
      <c r="AI195" s="505">
        <v>6.5758E7</v>
      </c>
      <c r="AJ195" s="505"/>
      <c r="AK195" s="436" t="s">
        <v>134</v>
      </c>
      <c r="AL195" s="436" t="s">
        <v>134</v>
      </c>
      <c r="AM195" s="436" t="s">
        <v>134</v>
      </c>
      <c r="AN195" s="436" t="s">
        <v>135</v>
      </c>
      <c r="AO195" s="721" t="s">
        <v>956</v>
      </c>
      <c r="AP195" s="438"/>
      <c r="AQ195" s="438"/>
      <c r="AR195" s="702" t="b">
        <v>0</v>
      </c>
      <c r="AS195" s="602" t="b">
        <v>0</v>
      </c>
      <c r="AT195" s="103"/>
      <c r="AU195" s="404"/>
      <c r="AV195" s="404"/>
    </row>
    <row r="196">
      <c r="A196" s="103"/>
      <c r="B196" s="477">
        <v>45819.0</v>
      </c>
      <c r="C196" s="478" t="s">
        <v>113</v>
      </c>
      <c r="D196" s="634" t="s">
        <v>114</v>
      </c>
      <c r="E196" s="476"/>
      <c r="F196" s="478" t="s">
        <v>115</v>
      </c>
      <c r="G196" s="478" t="s">
        <v>170</v>
      </c>
      <c r="H196" s="479"/>
      <c r="I196" s="480" t="s">
        <v>957</v>
      </c>
      <c r="J196" s="480" t="s">
        <v>118</v>
      </c>
      <c r="K196" s="461" t="s">
        <v>958</v>
      </c>
      <c r="L196" s="462" t="s">
        <v>959</v>
      </c>
      <c r="M196" s="483"/>
      <c r="N196" s="480" t="s">
        <v>119</v>
      </c>
      <c r="O196" s="480" t="s">
        <v>166</v>
      </c>
      <c r="P196" s="478">
        <v>30.0</v>
      </c>
      <c r="Q196" s="480" t="s">
        <v>960</v>
      </c>
      <c r="R196" s="471">
        <f t="shared" si="1"/>
        <v>3</v>
      </c>
      <c r="S196" s="500">
        <v>45954.0</v>
      </c>
      <c r="T196" s="484">
        <v>45956.0</v>
      </c>
      <c r="U196" s="485" t="str">
        <f t="shared" si="2"/>
        <v>135 days</v>
      </c>
      <c r="V196" s="486">
        <v>45819.0</v>
      </c>
      <c r="W196" s="471" t="s">
        <v>961</v>
      </c>
      <c r="X196" s="480" t="s">
        <v>29</v>
      </c>
      <c r="Y196" s="478" t="s">
        <v>29</v>
      </c>
      <c r="Z196" s="655"/>
      <c r="AA196" s="656"/>
      <c r="AB196" s="722" t="b">
        <v>0</v>
      </c>
      <c r="AC196" s="657" t="b">
        <v>0</v>
      </c>
      <c r="AD196" s="657" t="b">
        <v>0</v>
      </c>
      <c r="AE196" s="658" t="b">
        <v>0</v>
      </c>
      <c r="AF196" s="658" t="b">
        <v>0</v>
      </c>
      <c r="AG196" s="475" t="b">
        <v>0</v>
      </c>
      <c r="AH196" s="479"/>
      <c r="AI196" s="491">
        <v>1.274835E8</v>
      </c>
      <c r="AJ196" s="491"/>
      <c r="AK196" s="476"/>
      <c r="AL196" s="476"/>
      <c r="AM196" s="476"/>
      <c r="AN196" s="476"/>
      <c r="AO196" s="492"/>
      <c r="AP196" s="492"/>
      <c r="AQ196" s="492"/>
      <c r="AR196" s="490" t="b">
        <v>0</v>
      </c>
      <c r="AS196" s="484" t="b">
        <v>0</v>
      </c>
      <c r="AT196" s="476"/>
      <c r="AU196" s="103"/>
      <c r="AV196" s="103"/>
    </row>
    <row r="197">
      <c r="A197" s="404"/>
      <c r="B197" s="554">
        <v>45903.0</v>
      </c>
      <c r="C197" s="555" t="s">
        <v>113</v>
      </c>
      <c r="D197" s="692" t="s">
        <v>143</v>
      </c>
      <c r="E197" s="693" t="s">
        <v>962</v>
      </c>
      <c r="F197" s="557" t="s">
        <v>153</v>
      </c>
      <c r="G197" s="557" t="s">
        <v>162</v>
      </c>
      <c r="H197" s="582"/>
      <c r="I197" s="693" t="s">
        <v>963</v>
      </c>
      <c r="J197" s="693" t="s">
        <v>118</v>
      </c>
      <c r="K197" s="715" t="s">
        <v>964</v>
      </c>
      <c r="L197" s="441"/>
      <c r="M197" s="585"/>
      <c r="N197" s="693" t="s">
        <v>119</v>
      </c>
      <c r="O197" s="693" t="s">
        <v>166</v>
      </c>
      <c r="P197" s="557">
        <v>159.0</v>
      </c>
      <c r="Q197" s="696" t="s">
        <v>965</v>
      </c>
      <c r="R197" s="471">
        <f t="shared" si="1"/>
        <v>2</v>
      </c>
      <c r="S197" s="708">
        <v>45954.0</v>
      </c>
      <c r="T197" s="701">
        <v>45955.0</v>
      </c>
      <c r="U197" s="566" t="str">
        <f t="shared" si="2"/>
        <v>42 days</v>
      </c>
      <c r="V197" s="587">
        <v>45912.0</v>
      </c>
      <c r="W197" s="471" t="s">
        <v>966</v>
      </c>
      <c r="X197" s="559" t="s">
        <v>29</v>
      </c>
      <c r="Y197" s="555" t="s">
        <v>29</v>
      </c>
      <c r="Z197" s="412"/>
      <c r="AA197" s="686" t="s">
        <v>225</v>
      </c>
      <c r="AB197" s="645" t="b">
        <v>1</v>
      </c>
      <c r="AC197" s="690" t="b">
        <v>0</v>
      </c>
      <c r="AD197" s="646" t="b">
        <v>0</v>
      </c>
      <c r="AE197" s="691" t="b">
        <v>0</v>
      </c>
      <c r="AF197" s="647" t="b">
        <v>0</v>
      </c>
      <c r="AG197" s="475" t="b">
        <v>0</v>
      </c>
      <c r="AH197" s="648"/>
      <c r="AI197" s="505">
        <v>3.1910835E8</v>
      </c>
      <c r="AJ197" s="107"/>
      <c r="AK197" s="436"/>
      <c r="AL197" s="436"/>
      <c r="AM197" s="436"/>
      <c r="AN197" s="436"/>
      <c r="AO197" s="438"/>
      <c r="AP197" s="438"/>
      <c r="AQ197" s="438"/>
      <c r="AR197" s="702" t="b">
        <v>0</v>
      </c>
      <c r="AS197" s="602" t="b">
        <v>0</v>
      </c>
      <c r="AT197" s="404"/>
      <c r="AU197" s="441"/>
      <c r="AV197" s="441"/>
    </row>
    <row r="198">
      <c r="A198" s="103"/>
      <c r="B198" s="554">
        <v>45926.0</v>
      </c>
      <c r="C198" s="555" t="s">
        <v>190</v>
      </c>
      <c r="D198" s="692" t="s">
        <v>136</v>
      </c>
      <c r="E198" s="557" t="s">
        <v>205</v>
      </c>
      <c r="F198" s="557" t="s">
        <v>115</v>
      </c>
      <c r="G198" s="557" t="s">
        <v>192</v>
      </c>
      <c r="H198" s="479"/>
      <c r="I198" s="558" t="s">
        <v>967</v>
      </c>
      <c r="J198" s="559" t="s">
        <v>155</v>
      </c>
      <c r="K198" s="596" t="s">
        <v>968</v>
      </c>
      <c r="L198" s="723" t="s">
        <v>969</v>
      </c>
      <c r="M198" s="562"/>
      <c r="N198" s="559" t="s">
        <v>155</v>
      </c>
      <c r="O198" s="559" t="s">
        <v>120</v>
      </c>
      <c r="P198" s="555">
        <v>15.0</v>
      </c>
      <c r="Q198" s="563" t="s">
        <v>203</v>
      </c>
      <c r="R198" s="471">
        <f t="shared" si="1"/>
        <v>1</v>
      </c>
      <c r="S198" s="564">
        <v>45954.0</v>
      </c>
      <c r="T198" s="565">
        <v>45954.0</v>
      </c>
      <c r="U198" s="566" t="str">
        <f t="shared" si="2"/>
        <v>35 days</v>
      </c>
      <c r="V198" s="567">
        <v>45919.0</v>
      </c>
      <c r="W198" s="471" t="s">
        <v>970</v>
      </c>
      <c r="X198" s="559" t="s">
        <v>29</v>
      </c>
      <c r="Y198" s="555" t="s">
        <v>29</v>
      </c>
      <c r="Z198" s="431"/>
      <c r="AA198" s="432"/>
      <c r="AB198" s="396" t="b">
        <v>1</v>
      </c>
      <c r="AC198" s="397" t="b">
        <v>0</v>
      </c>
      <c r="AD198" s="397" t="b">
        <v>0</v>
      </c>
      <c r="AE198" s="398" t="b">
        <v>0</v>
      </c>
      <c r="AF198" s="620" t="b">
        <v>0</v>
      </c>
      <c r="AG198" s="475" t="b">
        <v>0</v>
      </c>
      <c r="AH198" s="433"/>
      <c r="AI198" s="573">
        <v>3225000.0</v>
      </c>
      <c r="AJ198" s="574"/>
      <c r="AK198" s="698"/>
      <c r="AL198" s="698"/>
      <c r="AM198" s="698"/>
      <c r="AN198" s="698"/>
      <c r="AO198" s="576"/>
      <c r="AP198" s="576"/>
      <c r="AQ198" s="576"/>
      <c r="AR198" s="588" t="b">
        <v>0</v>
      </c>
      <c r="AS198" s="578" t="b">
        <v>0</v>
      </c>
      <c r="AT198" s="579"/>
      <c r="AU198" s="579"/>
      <c r="AV198" s="579"/>
    </row>
    <row r="199">
      <c r="A199" s="404"/>
      <c r="B199" s="413">
        <v>45950.0</v>
      </c>
      <c r="C199" s="414" t="s">
        <v>190</v>
      </c>
      <c r="D199" s="415" t="s">
        <v>136</v>
      </c>
      <c r="E199" s="387" t="s">
        <v>971</v>
      </c>
      <c r="F199" s="387" t="s">
        <v>115</v>
      </c>
      <c r="G199" s="387" t="s">
        <v>116</v>
      </c>
      <c r="H199" s="166"/>
      <c r="I199" s="402" t="s">
        <v>972</v>
      </c>
      <c r="J199" s="402" t="s">
        <v>155</v>
      </c>
      <c r="K199" s="694" t="s">
        <v>973</v>
      </c>
      <c r="L199" s="694"/>
      <c r="M199" s="590"/>
      <c r="N199" s="675" t="s">
        <v>182</v>
      </c>
      <c r="O199" s="675" t="s">
        <v>182</v>
      </c>
      <c r="P199" s="387">
        <v>1.0</v>
      </c>
      <c r="Q199" s="675" t="s">
        <v>954</v>
      </c>
      <c r="R199" s="471">
        <f t="shared" si="1"/>
        <v>1</v>
      </c>
      <c r="S199" s="564">
        <v>45955.0</v>
      </c>
      <c r="T199" s="598">
        <v>45955.0</v>
      </c>
      <c r="U199" s="162" t="str">
        <f t="shared" si="2"/>
        <v>5 days</v>
      </c>
      <c r="V199" s="712">
        <v>45950.0</v>
      </c>
      <c r="W199" s="471" t="s">
        <v>974</v>
      </c>
      <c r="X199" s="402" t="s">
        <v>131</v>
      </c>
      <c r="Y199" s="387" t="s">
        <v>132</v>
      </c>
      <c r="Z199" s="431"/>
      <c r="AA199" s="686" t="s">
        <v>133</v>
      </c>
      <c r="AB199" s="396" t="b">
        <v>1</v>
      </c>
      <c r="AC199" s="669" t="b">
        <v>0</v>
      </c>
      <c r="AD199" s="397" t="b">
        <v>0</v>
      </c>
      <c r="AE199" s="398" t="b">
        <v>1</v>
      </c>
      <c r="AF199" s="620" t="b">
        <v>0</v>
      </c>
      <c r="AG199" s="475" t="b">
        <v>0</v>
      </c>
      <c r="AH199" s="433"/>
      <c r="AI199" s="680">
        <v>3.42E7</v>
      </c>
      <c r="AJ199" s="680"/>
      <c r="AK199" s="436" t="s">
        <v>134</v>
      </c>
      <c r="AL199" s="436" t="s">
        <v>134</v>
      </c>
      <c r="AM199" s="436" t="s">
        <v>134</v>
      </c>
      <c r="AN199" s="402" t="s">
        <v>620</v>
      </c>
      <c r="AO199" s="724" t="s">
        <v>975</v>
      </c>
      <c r="AP199" s="713"/>
      <c r="AQ199" s="713"/>
      <c r="AR199" s="161" t="b">
        <v>0</v>
      </c>
      <c r="AS199" s="465" t="b">
        <v>0</v>
      </c>
      <c r="AT199" s="404"/>
      <c r="AU199" s="441"/>
      <c r="AV199" s="441"/>
    </row>
    <row r="200">
      <c r="A200" s="103"/>
      <c r="B200" s="554">
        <v>45938.0</v>
      </c>
      <c r="C200" s="555" t="s">
        <v>113</v>
      </c>
      <c r="D200" s="692" t="s">
        <v>652</v>
      </c>
      <c r="E200" s="579"/>
      <c r="F200" s="557" t="s">
        <v>357</v>
      </c>
      <c r="G200" s="557" t="s">
        <v>192</v>
      </c>
      <c r="H200" s="582"/>
      <c r="I200" s="693" t="s">
        <v>976</v>
      </c>
      <c r="J200" s="693" t="s">
        <v>118</v>
      </c>
      <c r="K200" s="715" t="s">
        <v>977</v>
      </c>
      <c r="L200" s="723" t="s">
        <v>978</v>
      </c>
      <c r="M200" s="585"/>
      <c r="N200" s="693" t="s">
        <v>119</v>
      </c>
      <c r="O200" s="693" t="s">
        <v>120</v>
      </c>
      <c r="P200" s="557">
        <v>67.0</v>
      </c>
      <c r="Q200" s="696" t="s">
        <v>979</v>
      </c>
      <c r="R200" s="471">
        <f t="shared" si="1"/>
        <v>2</v>
      </c>
      <c r="S200" s="708">
        <v>45957.0</v>
      </c>
      <c r="T200" s="701">
        <v>45958.0</v>
      </c>
      <c r="U200" s="566" t="str">
        <f t="shared" si="2"/>
        <v>47 days</v>
      </c>
      <c r="V200" s="587">
        <v>45910.0</v>
      </c>
      <c r="W200" s="471" t="s">
        <v>980</v>
      </c>
      <c r="X200" s="559" t="s">
        <v>29</v>
      </c>
      <c r="Y200" s="555" t="s">
        <v>29</v>
      </c>
      <c r="Z200" s="412"/>
      <c r="AA200" s="432"/>
      <c r="AB200" s="645" t="b">
        <v>1</v>
      </c>
      <c r="AC200" s="690" t="b">
        <v>0</v>
      </c>
      <c r="AD200" s="646" t="b">
        <v>0</v>
      </c>
      <c r="AE200" s="691" t="b">
        <v>0</v>
      </c>
      <c r="AF200" s="647" t="b">
        <v>0</v>
      </c>
      <c r="AG200" s="475" t="b">
        <v>0</v>
      </c>
      <c r="AH200" s="648"/>
      <c r="AI200" s="505">
        <v>1.185437E8</v>
      </c>
      <c r="AJ200" s="107"/>
      <c r="AK200" s="436"/>
      <c r="AL200" s="436"/>
      <c r="AM200" s="436"/>
      <c r="AN200" s="436"/>
      <c r="AO200" s="438"/>
      <c r="AP200" s="438"/>
      <c r="AQ200" s="438"/>
      <c r="AR200" s="702" t="b">
        <v>0</v>
      </c>
      <c r="AS200" s="602" t="b">
        <v>0</v>
      </c>
      <c r="AT200" s="404"/>
      <c r="AU200" s="579"/>
      <c r="AV200" s="579"/>
    </row>
    <row r="201">
      <c r="A201" s="404"/>
      <c r="B201" s="413">
        <v>45889.0</v>
      </c>
      <c r="C201" s="414" t="s">
        <v>190</v>
      </c>
      <c r="D201" s="415" t="s">
        <v>250</v>
      </c>
      <c r="E201" s="387" t="s">
        <v>115</v>
      </c>
      <c r="F201" s="387" t="s">
        <v>162</v>
      </c>
      <c r="G201" s="387" t="s">
        <v>287</v>
      </c>
      <c r="H201" s="166"/>
      <c r="I201" s="595" t="s">
        <v>981</v>
      </c>
      <c r="J201" s="436" t="s">
        <v>118</v>
      </c>
      <c r="K201" s="596" t="s">
        <v>982</v>
      </c>
      <c r="L201" s="714"/>
      <c r="M201" s="569"/>
      <c r="N201" s="436" t="s">
        <v>119</v>
      </c>
      <c r="O201" s="436" t="s">
        <v>166</v>
      </c>
      <c r="P201" s="414">
        <v>82.0</v>
      </c>
      <c r="Q201" s="425" t="s">
        <v>983</v>
      </c>
      <c r="R201" s="471">
        <f t="shared" si="1"/>
        <v>3</v>
      </c>
      <c r="S201" s="564">
        <v>45960.0</v>
      </c>
      <c r="T201" s="598">
        <v>45962.0</v>
      </c>
      <c r="U201" s="428" t="str">
        <f t="shared" si="2"/>
        <v>41 days</v>
      </c>
      <c r="V201" s="599">
        <v>45919.0</v>
      </c>
      <c r="W201" s="471" t="s">
        <v>984</v>
      </c>
      <c r="X201" s="436" t="s">
        <v>131</v>
      </c>
      <c r="Y201" s="414" t="s">
        <v>132</v>
      </c>
      <c r="Z201" s="431"/>
      <c r="AA201" s="432"/>
      <c r="AB201" s="396" t="b">
        <v>1</v>
      </c>
      <c r="AC201" s="397" t="b">
        <v>1</v>
      </c>
      <c r="AD201" s="397" t="b">
        <v>1</v>
      </c>
      <c r="AE201" s="398" t="b">
        <v>1</v>
      </c>
      <c r="AF201" s="620" t="b">
        <v>0</v>
      </c>
      <c r="AG201" s="475" t="b">
        <v>0</v>
      </c>
      <c r="AH201" s="433"/>
      <c r="AI201" s="600">
        <v>2.69765905E8</v>
      </c>
      <c r="AJ201" s="435"/>
      <c r="AK201" s="436" t="s">
        <v>134</v>
      </c>
      <c r="AL201" s="436" t="s">
        <v>134</v>
      </c>
      <c r="AM201" s="436" t="s">
        <v>134</v>
      </c>
      <c r="AN201" s="436" t="s">
        <v>620</v>
      </c>
      <c r="AO201" s="438"/>
      <c r="AP201" s="438"/>
      <c r="AQ201" s="438"/>
      <c r="AR201" s="702" t="b">
        <v>0</v>
      </c>
      <c r="AS201" s="602" t="b">
        <v>0</v>
      </c>
      <c r="AT201" s="441"/>
      <c r="AU201" s="441"/>
      <c r="AV201" s="441"/>
    </row>
    <row r="202">
      <c r="A202" s="103"/>
      <c r="B202" s="477">
        <v>45862.0</v>
      </c>
      <c r="C202" s="478" t="s">
        <v>113</v>
      </c>
      <c r="D202" s="634" t="s">
        <v>136</v>
      </c>
      <c r="E202" s="103"/>
      <c r="F202" s="478" t="s">
        <v>115</v>
      </c>
      <c r="G202" s="478" t="s">
        <v>162</v>
      </c>
      <c r="H202" s="479"/>
      <c r="I202" s="495" t="s">
        <v>985</v>
      </c>
      <c r="J202" s="480" t="s">
        <v>118</v>
      </c>
      <c r="K202" s="481" t="s">
        <v>986</v>
      </c>
      <c r="L202" s="496"/>
      <c r="M202" s="497"/>
      <c r="N202" s="480" t="s">
        <v>119</v>
      </c>
      <c r="O202" s="480" t="s">
        <v>120</v>
      </c>
      <c r="P202" s="106">
        <v>51.0</v>
      </c>
      <c r="Q202" s="495" t="s">
        <v>415</v>
      </c>
      <c r="R202" s="471">
        <f t="shared" si="1"/>
        <v>1</v>
      </c>
      <c r="S202" s="502">
        <v>45961.0</v>
      </c>
      <c r="T202" s="503">
        <v>45961.0</v>
      </c>
      <c r="U202" s="485" t="str">
        <f t="shared" si="2"/>
        <v>99 days</v>
      </c>
      <c r="V202" s="504">
        <v>45862.0</v>
      </c>
      <c r="W202" s="471" t="s">
        <v>987</v>
      </c>
      <c r="X202" s="480" t="s">
        <v>29</v>
      </c>
      <c r="Y202" s="478" t="s">
        <v>29</v>
      </c>
      <c r="Z202" s="665"/>
      <c r="AA202" s="656"/>
      <c r="AB202" s="485" t="b">
        <v>1</v>
      </c>
      <c r="AC202" s="471" t="b">
        <v>1</v>
      </c>
      <c r="AD202" s="471" t="b">
        <v>0</v>
      </c>
      <c r="AE202" s="475" t="b">
        <v>0</v>
      </c>
      <c r="AF202" s="475" t="b">
        <v>0</v>
      </c>
      <c r="AG202" s="475" t="b">
        <v>0</v>
      </c>
      <c r="AH202" s="666"/>
      <c r="AI202" s="505">
        <v>2.71395E7</v>
      </c>
      <c r="AJ202" s="505"/>
      <c r="AK202" s="476"/>
      <c r="AL202" s="476"/>
      <c r="AM202" s="476"/>
      <c r="AN202" s="476"/>
      <c r="AO202" s="499"/>
      <c r="AP202" s="499"/>
      <c r="AQ202" s="499"/>
      <c r="AR202" s="490" t="b">
        <v>0</v>
      </c>
      <c r="AS202" s="484" t="b">
        <v>0</v>
      </c>
      <c r="AT202" s="103"/>
      <c r="AU202" s="579"/>
      <c r="AV202" s="579"/>
    </row>
    <row r="203">
      <c r="A203" s="404"/>
      <c r="B203" s="477">
        <v>45909.0</v>
      </c>
      <c r="C203" s="506" t="s">
        <v>113</v>
      </c>
      <c r="D203" s="632" t="s">
        <v>136</v>
      </c>
      <c r="E203" s="106"/>
      <c r="F203" s="478" t="s">
        <v>115</v>
      </c>
      <c r="G203" s="478" t="s">
        <v>116</v>
      </c>
      <c r="H203" s="479"/>
      <c r="I203" s="495" t="s">
        <v>988</v>
      </c>
      <c r="J203" s="480" t="s">
        <v>118</v>
      </c>
      <c r="K203" s="481" t="s">
        <v>989</v>
      </c>
      <c r="L203" s="482" t="s">
        <v>990</v>
      </c>
      <c r="M203" s="497"/>
      <c r="N203" s="480" t="s">
        <v>182</v>
      </c>
      <c r="O203" s="480" t="s">
        <v>182</v>
      </c>
      <c r="P203" s="106"/>
      <c r="Q203" s="495" t="s">
        <v>187</v>
      </c>
      <c r="R203" s="471">
        <f t="shared" si="1"/>
        <v>1</v>
      </c>
      <c r="S203" s="502">
        <v>45961.0</v>
      </c>
      <c r="T203" s="503">
        <v>45961.0</v>
      </c>
      <c r="U203" s="485" t="str">
        <f t="shared" si="2"/>
        <v>52 days</v>
      </c>
      <c r="V203" s="486">
        <v>45909.0</v>
      </c>
      <c r="W203" s="471" t="s">
        <v>991</v>
      </c>
      <c r="X203" s="480" t="s">
        <v>29</v>
      </c>
      <c r="Y203" s="478" t="s">
        <v>29</v>
      </c>
      <c r="Z203" s="643"/>
      <c r="AA203" s="644"/>
      <c r="AB203" s="645" t="b">
        <v>0</v>
      </c>
      <c r="AC203" s="690" t="b">
        <v>0</v>
      </c>
      <c r="AD203" s="690" t="b">
        <v>0</v>
      </c>
      <c r="AE203" s="691" t="b">
        <v>0</v>
      </c>
      <c r="AF203" s="691" t="b">
        <v>0</v>
      </c>
      <c r="AG203" s="475" t="b">
        <v>0</v>
      </c>
      <c r="AH203" s="648"/>
      <c r="AI203" s="505">
        <v>2.261625E7</v>
      </c>
      <c r="AJ203" s="505"/>
      <c r="AK203" s="512"/>
      <c r="AL203" s="512"/>
      <c r="AM203" s="512"/>
      <c r="AN203" s="478"/>
      <c r="AO203" s="499"/>
      <c r="AP203" s="499"/>
      <c r="AQ203" s="499"/>
      <c r="AR203" s="490" t="b">
        <v>0</v>
      </c>
      <c r="AS203" s="484" t="b">
        <v>0</v>
      </c>
      <c r="AT203" s="103"/>
      <c r="AU203" s="441"/>
      <c r="AV203" s="441"/>
    </row>
    <row r="204">
      <c r="A204" s="103"/>
      <c r="B204" s="413">
        <v>45947.0</v>
      </c>
      <c r="C204" s="414" t="s">
        <v>113</v>
      </c>
      <c r="D204" s="415" t="s">
        <v>250</v>
      </c>
      <c r="E204" s="594"/>
      <c r="F204" s="387" t="s">
        <v>170</v>
      </c>
      <c r="G204" s="387" t="s">
        <v>170</v>
      </c>
      <c r="H204" s="166"/>
      <c r="I204" s="402" t="s">
        <v>992</v>
      </c>
      <c r="J204" s="402" t="s">
        <v>118</v>
      </c>
      <c r="K204" s="694" t="s">
        <v>993</v>
      </c>
      <c r="L204" s="711" t="s">
        <v>611</v>
      </c>
      <c r="M204" s="590"/>
      <c r="N204" s="675" t="s">
        <v>119</v>
      </c>
      <c r="O204" s="675" t="s">
        <v>166</v>
      </c>
      <c r="P204" s="387">
        <v>30.0</v>
      </c>
      <c r="Q204" s="675" t="s">
        <v>885</v>
      </c>
      <c r="R204" s="471">
        <f t="shared" si="1"/>
        <v>3</v>
      </c>
      <c r="S204" s="564">
        <v>45961.0</v>
      </c>
      <c r="T204" s="598">
        <v>45963.0</v>
      </c>
      <c r="U204" s="162" t="str">
        <f t="shared" si="2"/>
        <v>14 days</v>
      </c>
      <c r="V204" s="712">
        <v>45947.0</v>
      </c>
      <c r="W204" s="471" t="s">
        <v>994</v>
      </c>
      <c r="X204" s="402" t="s">
        <v>29</v>
      </c>
      <c r="Y204" s="387" t="s">
        <v>29</v>
      </c>
      <c r="Z204" s="431"/>
      <c r="AA204" s="686" t="s">
        <v>133</v>
      </c>
      <c r="AB204" s="668" t="b">
        <v>0</v>
      </c>
      <c r="AC204" s="669" t="b">
        <v>0</v>
      </c>
      <c r="AD204" s="669" t="b">
        <v>0</v>
      </c>
      <c r="AE204" s="620" t="b">
        <v>0</v>
      </c>
      <c r="AF204" s="620" t="b">
        <v>0</v>
      </c>
      <c r="AG204" s="475" t="b">
        <v>0</v>
      </c>
      <c r="AH204" s="433"/>
      <c r="AI204" s="680">
        <v>1.146519E8</v>
      </c>
      <c r="AJ204" s="680"/>
      <c r="AK204" s="568"/>
      <c r="AL204" s="568"/>
      <c r="AM204" s="568"/>
      <c r="AN204" s="441"/>
      <c r="AO204" s="713"/>
      <c r="AP204" s="713"/>
      <c r="AQ204" s="713"/>
      <c r="AR204" s="161" t="b">
        <v>0</v>
      </c>
      <c r="AS204" s="465" t="b">
        <v>0</v>
      </c>
      <c r="AT204" s="404"/>
      <c r="AU204" s="579"/>
      <c r="AV204" s="579"/>
    </row>
    <row r="205">
      <c r="A205" s="404"/>
      <c r="B205" s="554">
        <v>45926.0</v>
      </c>
      <c r="C205" s="555" t="s">
        <v>190</v>
      </c>
      <c r="D205" s="692" t="s">
        <v>52</v>
      </c>
      <c r="E205" s="579"/>
      <c r="F205" s="557" t="s">
        <v>357</v>
      </c>
      <c r="G205" s="557" t="s">
        <v>192</v>
      </c>
      <c r="H205" s="582"/>
      <c r="I205" s="693" t="s">
        <v>367</v>
      </c>
      <c r="J205" s="693" t="s">
        <v>118</v>
      </c>
      <c r="K205" s="699" t="s">
        <v>995</v>
      </c>
      <c r="L205" s="725" t="s">
        <v>996</v>
      </c>
      <c r="M205" s="585"/>
      <c r="N205" s="693" t="s">
        <v>155</v>
      </c>
      <c r="O205" s="693" t="s">
        <v>196</v>
      </c>
      <c r="P205" s="557">
        <v>25.0</v>
      </c>
      <c r="Q205" s="696" t="s">
        <v>367</v>
      </c>
      <c r="R205" s="471">
        <f t="shared" si="1"/>
        <v>1</v>
      </c>
      <c r="S205" s="564">
        <v>45962.0</v>
      </c>
      <c r="T205" s="565">
        <v>45962.0</v>
      </c>
      <c r="U205" s="566" t="str">
        <f t="shared" si="2"/>
        <v>33 days</v>
      </c>
      <c r="V205" s="587">
        <v>45929.0</v>
      </c>
      <c r="W205" s="471" t="s">
        <v>997</v>
      </c>
      <c r="X205" s="559" t="s">
        <v>29</v>
      </c>
      <c r="Y205" s="555" t="s">
        <v>29</v>
      </c>
      <c r="Z205" s="412"/>
      <c r="AA205" s="686" t="s">
        <v>225</v>
      </c>
      <c r="AB205" s="645" t="b">
        <v>0</v>
      </c>
      <c r="AC205" s="646" t="b">
        <v>0</v>
      </c>
      <c r="AD205" s="646" t="b">
        <v>0</v>
      </c>
      <c r="AE205" s="647" t="b">
        <v>0</v>
      </c>
      <c r="AF205" s="647" t="b">
        <v>0</v>
      </c>
      <c r="AG205" s="475" t="b">
        <v>0</v>
      </c>
      <c r="AH205" s="648"/>
      <c r="AI205" s="505">
        <v>7875000.0</v>
      </c>
      <c r="AJ205" s="107"/>
      <c r="AK205" s="436"/>
      <c r="AL205" s="436"/>
      <c r="AM205" s="436"/>
      <c r="AN205" s="436"/>
      <c r="AO205" s="438"/>
      <c r="AP205" s="438"/>
      <c r="AQ205" s="438"/>
      <c r="AR205" s="702" t="b">
        <v>0</v>
      </c>
      <c r="AS205" s="602" t="b">
        <v>0</v>
      </c>
      <c r="AT205" s="404"/>
      <c r="AU205" s="441"/>
      <c r="AV205" s="441"/>
    </row>
    <row r="206">
      <c r="A206" s="103"/>
      <c r="B206" s="413">
        <v>45956.0</v>
      </c>
      <c r="C206" s="414" t="s">
        <v>190</v>
      </c>
      <c r="D206" s="415" t="s">
        <v>136</v>
      </c>
      <c r="E206" s="387" t="s">
        <v>205</v>
      </c>
      <c r="F206" s="387" t="s">
        <v>115</v>
      </c>
      <c r="G206" s="387" t="s">
        <v>116</v>
      </c>
      <c r="H206" s="166"/>
      <c r="I206" s="402" t="s">
        <v>998</v>
      </c>
      <c r="J206" s="402" t="s">
        <v>118</v>
      </c>
      <c r="K206" s="694"/>
      <c r="L206" s="694"/>
      <c r="M206" s="590"/>
      <c r="N206" s="675" t="s">
        <v>119</v>
      </c>
      <c r="O206" s="675" t="s">
        <v>196</v>
      </c>
      <c r="P206" s="387">
        <v>1.0</v>
      </c>
      <c r="Q206" s="675" t="s">
        <v>947</v>
      </c>
      <c r="R206" s="471">
        <f t="shared" si="1"/>
        <v>1</v>
      </c>
      <c r="S206" s="564">
        <v>45962.0</v>
      </c>
      <c r="T206" s="598">
        <v>45962.0</v>
      </c>
      <c r="U206" s="162" t="str">
        <f t="shared" si="2"/>
        <v>6 days</v>
      </c>
      <c r="V206" s="712">
        <v>45956.0</v>
      </c>
      <c r="W206" s="471" t="s">
        <v>999</v>
      </c>
      <c r="X206" s="402" t="s">
        <v>131</v>
      </c>
      <c r="Y206" s="387" t="s">
        <v>132</v>
      </c>
      <c r="Z206" s="431"/>
      <c r="AA206" s="686" t="s">
        <v>133</v>
      </c>
      <c r="AB206" s="396" t="b">
        <v>1</v>
      </c>
      <c r="AC206" s="397" t="b">
        <v>1</v>
      </c>
      <c r="AD206" s="397" t="b">
        <v>1</v>
      </c>
      <c r="AE206" s="398" t="b">
        <v>1</v>
      </c>
      <c r="AF206" s="620" t="b">
        <v>0</v>
      </c>
      <c r="AG206" s="475" t="b">
        <v>0</v>
      </c>
      <c r="AH206" s="433"/>
      <c r="AI206" s="680">
        <v>1.416E7</v>
      </c>
      <c r="AJ206" s="680"/>
      <c r="AK206" s="436" t="s">
        <v>134</v>
      </c>
      <c r="AL206" s="436" t="s">
        <v>134</v>
      </c>
      <c r="AM206" s="436" t="s">
        <v>134</v>
      </c>
      <c r="AN206" s="402" t="s">
        <v>620</v>
      </c>
      <c r="AO206" s="713"/>
      <c r="AP206" s="713"/>
      <c r="AQ206" s="713"/>
      <c r="AR206" s="161" t="b">
        <v>0</v>
      </c>
      <c r="AS206" s="465" t="b">
        <v>0</v>
      </c>
      <c r="AT206" s="404"/>
      <c r="AU206" s="579"/>
      <c r="AV206" s="579"/>
    </row>
    <row r="207">
      <c r="A207" s="404"/>
      <c r="B207" s="554">
        <v>45932.0</v>
      </c>
      <c r="C207" s="555" t="s">
        <v>113</v>
      </c>
      <c r="D207" s="692" t="s">
        <v>136</v>
      </c>
      <c r="E207" s="579"/>
      <c r="F207" s="557" t="s">
        <v>115</v>
      </c>
      <c r="G207" s="557" t="s">
        <v>116</v>
      </c>
      <c r="H207" s="582"/>
      <c r="I207" s="693" t="s">
        <v>902</v>
      </c>
      <c r="J207" s="693" t="s">
        <v>118</v>
      </c>
      <c r="K207" s="699" t="s">
        <v>1000</v>
      </c>
      <c r="L207" s="579"/>
      <c r="M207" s="585"/>
      <c r="N207" s="693" t="s">
        <v>119</v>
      </c>
      <c r="O207" s="693" t="s">
        <v>120</v>
      </c>
      <c r="P207" s="557">
        <v>40.0</v>
      </c>
      <c r="Q207" s="696" t="s">
        <v>1001</v>
      </c>
      <c r="R207" s="471">
        <f t="shared" si="1"/>
        <v>1</v>
      </c>
      <c r="S207" s="708">
        <v>45967.0</v>
      </c>
      <c r="T207" s="701">
        <v>45967.0</v>
      </c>
      <c r="U207" s="566" t="str">
        <f t="shared" si="2"/>
        <v>35 days</v>
      </c>
      <c r="V207" s="587">
        <v>45932.0</v>
      </c>
      <c r="W207" s="471" t="s">
        <v>1002</v>
      </c>
      <c r="X207" s="559" t="s">
        <v>29</v>
      </c>
      <c r="Y207" s="555" t="s">
        <v>29</v>
      </c>
      <c r="Z207" s="412"/>
      <c r="AA207" s="686" t="s">
        <v>123</v>
      </c>
      <c r="AB207" s="645" t="b">
        <v>0</v>
      </c>
      <c r="AC207" s="646" t="b">
        <v>0</v>
      </c>
      <c r="AD207" s="646" t="b">
        <v>0</v>
      </c>
      <c r="AE207" s="647" t="b">
        <v>0</v>
      </c>
      <c r="AF207" s="647" t="b">
        <v>0</v>
      </c>
      <c r="AG207" s="475" t="b">
        <v>0</v>
      </c>
      <c r="AH207" s="648"/>
      <c r="AI207" s="505">
        <v>1.62E7</v>
      </c>
      <c r="AJ207" s="107"/>
      <c r="AK207" s="436"/>
      <c r="AL207" s="436"/>
      <c r="AM207" s="436"/>
      <c r="AN207" s="436"/>
      <c r="AO207" s="438"/>
      <c r="AP207" s="438"/>
      <c r="AQ207" s="438"/>
      <c r="AR207" s="702" t="b">
        <v>0</v>
      </c>
      <c r="AS207" s="602" t="b">
        <v>0</v>
      </c>
      <c r="AT207" s="404"/>
      <c r="AU207" s="441"/>
      <c r="AV207" s="441"/>
    </row>
    <row r="208">
      <c r="A208" s="103"/>
      <c r="B208" s="250">
        <v>45909.0</v>
      </c>
      <c r="C208" s="387" t="s">
        <v>190</v>
      </c>
      <c r="D208" s="388" t="s">
        <v>136</v>
      </c>
      <c r="E208" s="522" t="s">
        <v>205</v>
      </c>
      <c r="F208" s="251" t="s">
        <v>357</v>
      </c>
      <c r="G208" s="251" t="s">
        <v>192</v>
      </c>
      <c r="H208" s="166"/>
      <c r="I208" s="392" t="s">
        <v>1003</v>
      </c>
      <c r="J208" s="261" t="s">
        <v>644</v>
      </c>
      <c r="K208" s="461" t="s">
        <v>1004</v>
      </c>
      <c r="L208" s="462" t="s">
        <v>1005</v>
      </c>
      <c r="M208" s="521"/>
      <c r="N208" s="261" t="s">
        <v>155</v>
      </c>
      <c r="O208" s="261" t="s">
        <v>238</v>
      </c>
      <c r="P208" s="522">
        <v>35.0</v>
      </c>
      <c r="Q208" s="392" t="s">
        <v>203</v>
      </c>
      <c r="R208" s="471">
        <f t="shared" si="1"/>
        <v>2</v>
      </c>
      <c r="S208" s="502">
        <v>45969.0</v>
      </c>
      <c r="T208" s="465">
        <v>45970.0</v>
      </c>
      <c r="U208" s="162" t="str">
        <f t="shared" si="2"/>
        <v>60 days</v>
      </c>
      <c r="V208" s="466">
        <v>45909.0</v>
      </c>
      <c r="W208" s="471" t="s">
        <v>1006</v>
      </c>
      <c r="X208" s="261" t="s">
        <v>131</v>
      </c>
      <c r="Y208" s="251" t="s">
        <v>132</v>
      </c>
      <c r="Z208" s="394"/>
      <c r="AA208" s="395"/>
      <c r="AB208" s="396" t="b">
        <v>1</v>
      </c>
      <c r="AC208" s="397" t="b">
        <v>0</v>
      </c>
      <c r="AD208" s="397" t="b">
        <v>1</v>
      </c>
      <c r="AE208" s="398" t="b">
        <v>1</v>
      </c>
      <c r="AF208" s="398" t="b">
        <v>0</v>
      </c>
      <c r="AG208" s="475" t="b">
        <v>0</v>
      </c>
      <c r="AH208" s="399"/>
      <c r="AI208" s="401">
        <v>4.3262E7</v>
      </c>
      <c r="AJ208" s="401"/>
      <c r="AK208" s="402" t="s">
        <v>134</v>
      </c>
      <c r="AL208" s="402" t="s">
        <v>134</v>
      </c>
      <c r="AM208" s="402" t="s">
        <v>134</v>
      </c>
      <c r="AN208" s="251" t="s">
        <v>135</v>
      </c>
      <c r="AO208" s="403"/>
      <c r="AP208" s="403"/>
      <c r="AQ208" s="403"/>
      <c r="AR208" s="161" t="b">
        <v>0</v>
      </c>
      <c r="AS208" s="465" t="b">
        <v>0</v>
      </c>
      <c r="AT208" s="404"/>
      <c r="AU208" s="579"/>
      <c r="AV208" s="579"/>
    </row>
    <row r="209">
      <c r="A209" s="404"/>
      <c r="B209" s="413">
        <v>45917.0</v>
      </c>
      <c r="C209" s="414" t="s">
        <v>190</v>
      </c>
      <c r="D209" s="415" t="s">
        <v>143</v>
      </c>
      <c r="E209" s="387" t="s">
        <v>1007</v>
      </c>
      <c r="F209" s="387" t="s">
        <v>277</v>
      </c>
      <c r="G209" s="387" t="s">
        <v>116</v>
      </c>
      <c r="H209" s="166"/>
      <c r="I209" s="595" t="s">
        <v>1008</v>
      </c>
      <c r="J209" s="436" t="s">
        <v>118</v>
      </c>
      <c r="K209" s="596" t="s">
        <v>1009</v>
      </c>
      <c r="L209" s="714"/>
      <c r="M209" s="569"/>
      <c r="N209" s="436" t="s">
        <v>119</v>
      </c>
      <c r="O209" s="436" t="s">
        <v>166</v>
      </c>
      <c r="P209" s="414">
        <v>900.0</v>
      </c>
      <c r="Q209" s="425" t="s">
        <v>290</v>
      </c>
      <c r="R209" s="471">
        <f t="shared" si="1"/>
        <v>1</v>
      </c>
      <c r="S209" s="564">
        <v>45969.0</v>
      </c>
      <c r="T209" s="598">
        <v>45969.0</v>
      </c>
      <c r="U209" s="428" t="str">
        <f t="shared" si="2"/>
        <v>52 days</v>
      </c>
      <c r="V209" s="599">
        <v>45917.0</v>
      </c>
      <c r="W209" s="471" t="s">
        <v>1010</v>
      </c>
      <c r="X209" s="436" t="s">
        <v>29</v>
      </c>
      <c r="Y209" s="414" t="s">
        <v>29</v>
      </c>
      <c r="Z209" s="431"/>
      <c r="AA209" s="686" t="s">
        <v>225</v>
      </c>
      <c r="AB209" s="396" t="b">
        <v>0</v>
      </c>
      <c r="AC209" s="397" t="b">
        <v>0</v>
      </c>
      <c r="AD209" s="397" t="b">
        <v>0</v>
      </c>
      <c r="AE209" s="398" t="b">
        <v>0</v>
      </c>
      <c r="AF209" s="620" t="b">
        <v>0</v>
      </c>
      <c r="AG209" s="475" t="b">
        <v>0</v>
      </c>
      <c r="AH209" s="433"/>
      <c r="AI209" s="600">
        <v>9.0E8</v>
      </c>
      <c r="AJ209" s="435"/>
      <c r="AK209" s="568"/>
      <c r="AL209" s="568"/>
      <c r="AM209" s="568"/>
      <c r="AN209" s="568"/>
      <c r="AO209" s="438"/>
      <c r="AP209" s="438"/>
      <c r="AQ209" s="438"/>
      <c r="AR209" s="702" t="b">
        <v>0</v>
      </c>
      <c r="AS209" s="602" t="b">
        <v>0</v>
      </c>
      <c r="AT209" s="441"/>
      <c r="AU209" s="441"/>
      <c r="AV209" s="441"/>
    </row>
    <row r="210">
      <c r="A210" s="103"/>
      <c r="B210" s="413">
        <v>45953.0</v>
      </c>
      <c r="C210" s="414" t="s">
        <v>113</v>
      </c>
      <c r="D210" s="415" t="s">
        <v>136</v>
      </c>
      <c r="E210" s="594"/>
      <c r="F210" s="387" t="s">
        <v>115</v>
      </c>
      <c r="G210" s="387" t="s">
        <v>287</v>
      </c>
      <c r="H210" s="166"/>
      <c r="I210" s="402" t="s">
        <v>1011</v>
      </c>
      <c r="J210" s="402" t="s">
        <v>118</v>
      </c>
      <c r="K210" s="694" t="s">
        <v>1012</v>
      </c>
      <c r="L210" s="694"/>
      <c r="M210" s="590"/>
      <c r="N210" s="675" t="s">
        <v>119</v>
      </c>
      <c r="O210" s="675" t="s">
        <v>120</v>
      </c>
      <c r="P210" s="387">
        <v>10.0</v>
      </c>
      <c r="Q210" s="675" t="s">
        <v>1013</v>
      </c>
      <c r="R210" s="471">
        <f t="shared" si="1"/>
        <v>2</v>
      </c>
      <c r="S210" s="564">
        <v>45972.0</v>
      </c>
      <c r="T210" s="598">
        <v>45973.0</v>
      </c>
      <c r="U210" s="162" t="str">
        <f t="shared" si="2"/>
        <v>19 days</v>
      </c>
      <c r="V210" s="712">
        <v>45953.0</v>
      </c>
      <c r="W210" s="471" t="s">
        <v>1014</v>
      </c>
      <c r="X210" s="402" t="s">
        <v>29</v>
      </c>
      <c r="Y210" s="387" t="s">
        <v>29</v>
      </c>
      <c r="Z210" s="568"/>
      <c r="AA210" s="686" t="s">
        <v>133</v>
      </c>
      <c r="AB210" s="396" t="b">
        <v>1</v>
      </c>
      <c r="AC210" s="669" t="b">
        <v>0</v>
      </c>
      <c r="AD210" s="669" t="b">
        <v>0</v>
      </c>
      <c r="AE210" s="620" t="b">
        <v>0</v>
      </c>
      <c r="AF210" s="620" t="b">
        <v>0</v>
      </c>
      <c r="AG210" s="475" t="b">
        <v>0</v>
      </c>
      <c r="AH210" s="433"/>
      <c r="AI210" s="680">
        <v>8880000.0</v>
      </c>
      <c r="AJ210" s="680"/>
      <c r="AK210" s="568"/>
      <c r="AL210" s="568"/>
      <c r="AM210" s="568"/>
      <c r="AN210" s="441"/>
      <c r="AO210" s="713"/>
      <c r="AP210" s="713"/>
      <c r="AQ210" s="713"/>
      <c r="AR210" s="161" t="b">
        <v>0</v>
      </c>
      <c r="AS210" s="465" t="b">
        <v>0</v>
      </c>
      <c r="AT210" s="404"/>
      <c r="AU210" s="103"/>
      <c r="AV210" s="103"/>
    </row>
    <row r="211">
      <c r="A211" s="404"/>
      <c r="B211" s="726">
        <v>45909.0</v>
      </c>
      <c r="C211" s="414" t="s">
        <v>113</v>
      </c>
      <c r="D211" s="727" t="s">
        <v>136</v>
      </c>
      <c r="E211" s="594"/>
      <c r="F211" s="387" t="s">
        <v>115</v>
      </c>
      <c r="G211" s="387" t="s">
        <v>116</v>
      </c>
      <c r="H211" s="166"/>
      <c r="I211" s="402" t="s">
        <v>1015</v>
      </c>
      <c r="J211" s="402" t="s">
        <v>118</v>
      </c>
      <c r="K211" s="694" t="s">
        <v>1016</v>
      </c>
      <c r="L211" s="711" t="s">
        <v>1017</v>
      </c>
      <c r="M211" s="590"/>
      <c r="N211" s="675" t="s">
        <v>182</v>
      </c>
      <c r="O211" s="675" t="s">
        <v>182</v>
      </c>
      <c r="P211" s="594"/>
      <c r="Q211" s="675" t="s">
        <v>187</v>
      </c>
      <c r="R211" s="471">
        <f t="shared" si="1"/>
        <v>1</v>
      </c>
      <c r="S211" s="564">
        <v>45974.0</v>
      </c>
      <c r="T211" s="598">
        <v>45974.0</v>
      </c>
      <c r="U211" s="162" t="str">
        <f t="shared" si="2"/>
        <v>65 days</v>
      </c>
      <c r="V211" s="728">
        <v>45909.0</v>
      </c>
      <c r="W211" s="471" t="s">
        <v>1018</v>
      </c>
      <c r="X211" s="402" t="s">
        <v>131</v>
      </c>
      <c r="Y211" s="387" t="s">
        <v>132</v>
      </c>
      <c r="Z211" s="568"/>
      <c r="AA211" s="432"/>
      <c r="AB211" s="668" t="b">
        <v>0</v>
      </c>
      <c r="AC211" s="669" t="b">
        <v>0</v>
      </c>
      <c r="AD211" s="669" t="b">
        <v>0</v>
      </c>
      <c r="AE211" s="620" t="b">
        <v>0</v>
      </c>
      <c r="AF211" s="620" t="b">
        <v>0</v>
      </c>
      <c r="AG211" s="475" t="b">
        <v>0</v>
      </c>
      <c r="AH211" s="433"/>
      <c r="AI211" s="680">
        <v>4440000.0</v>
      </c>
      <c r="AJ211" s="680"/>
      <c r="AK211" s="436" t="s">
        <v>134</v>
      </c>
      <c r="AL211" s="436" t="s">
        <v>134</v>
      </c>
      <c r="AM211" s="436" t="s">
        <v>134</v>
      </c>
      <c r="AN211" s="402" t="s">
        <v>135</v>
      </c>
      <c r="AO211" s="713"/>
      <c r="AP211" s="713"/>
      <c r="AQ211" s="713"/>
      <c r="AR211" s="702" t="b">
        <v>0</v>
      </c>
      <c r="AS211" s="602" t="b">
        <v>0</v>
      </c>
      <c r="AT211" s="441"/>
      <c r="AU211" s="404"/>
      <c r="AV211" s="404"/>
    </row>
    <row r="212">
      <c r="A212" s="404"/>
      <c r="B212" s="413">
        <v>45950.0</v>
      </c>
      <c r="C212" s="414" t="s">
        <v>113</v>
      </c>
      <c r="D212" s="415" t="s">
        <v>250</v>
      </c>
      <c r="E212" s="594"/>
      <c r="F212" s="387" t="s">
        <v>170</v>
      </c>
      <c r="G212" s="387" t="s">
        <v>170</v>
      </c>
      <c r="H212" s="166"/>
      <c r="I212" s="402" t="s">
        <v>1019</v>
      </c>
      <c r="J212" s="402" t="s">
        <v>118</v>
      </c>
      <c r="K212" s="694" t="s">
        <v>1020</v>
      </c>
      <c r="L212" s="711" t="s">
        <v>1021</v>
      </c>
      <c r="M212" s="590"/>
      <c r="N212" s="675" t="s">
        <v>119</v>
      </c>
      <c r="O212" s="675" t="s">
        <v>182</v>
      </c>
      <c r="P212" s="387">
        <v>1.0</v>
      </c>
      <c r="Q212" s="675" t="s">
        <v>1022</v>
      </c>
      <c r="R212" s="471">
        <f t="shared" si="1"/>
        <v>1</v>
      </c>
      <c r="S212" s="564">
        <v>45975.0</v>
      </c>
      <c r="T212" s="598">
        <v>45975.0</v>
      </c>
      <c r="U212" s="162" t="str">
        <f t="shared" si="2"/>
        <v>25 days</v>
      </c>
      <c r="V212" s="712">
        <v>45950.0</v>
      </c>
      <c r="W212" s="471" t="s">
        <v>1023</v>
      </c>
      <c r="X212" s="402" t="s">
        <v>131</v>
      </c>
      <c r="Y212" s="387" t="s">
        <v>132</v>
      </c>
      <c r="Z212" s="568"/>
      <c r="AA212" s="686" t="s">
        <v>133</v>
      </c>
      <c r="AB212" s="668" t="b">
        <v>0</v>
      </c>
      <c r="AC212" s="669" t="b">
        <v>0</v>
      </c>
      <c r="AD212" s="669" t="b">
        <v>0</v>
      </c>
      <c r="AE212" s="620" t="b">
        <v>0</v>
      </c>
      <c r="AF212" s="620" t="b">
        <v>0</v>
      </c>
      <c r="AG212" s="475" t="b">
        <v>0</v>
      </c>
      <c r="AH212" s="433"/>
      <c r="AI212" s="680">
        <v>7.8650715E7</v>
      </c>
      <c r="AJ212" s="680"/>
      <c r="AK212" s="436" t="s">
        <v>134</v>
      </c>
      <c r="AL212" s="436" t="s">
        <v>134</v>
      </c>
      <c r="AM212" s="436" t="s">
        <v>134</v>
      </c>
      <c r="AN212" s="402" t="s">
        <v>620</v>
      </c>
      <c r="AO212" s="713"/>
      <c r="AP212" s="713"/>
      <c r="AQ212" s="713"/>
      <c r="AR212" s="161" t="b">
        <v>0</v>
      </c>
      <c r="AS212" s="465" t="b">
        <v>0</v>
      </c>
      <c r="AT212" s="404"/>
      <c r="AU212" s="404"/>
      <c r="AV212" s="404"/>
    </row>
    <row r="213">
      <c r="A213" s="404"/>
      <c r="B213" s="413">
        <v>45961.0</v>
      </c>
      <c r="C213" s="414" t="s">
        <v>113</v>
      </c>
      <c r="D213" s="415" t="s">
        <v>114</v>
      </c>
      <c r="E213" s="594"/>
      <c r="F213" s="387" t="s">
        <v>170</v>
      </c>
      <c r="G213" s="387" t="s">
        <v>170</v>
      </c>
      <c r="H213" s="166"/>
      <c r="I213" s="402" t="s">
        <v>1024</v>
      </c>
      <c r="J213" s="402" t="s">
        <v>118</v>
      </c>
      <c r="K213" s="694" t="s">
        <v>1025</v>
      </c>
      <c r="L213" s="711" t="s">
        <v>1026</v>
      </c>
      <c r="M213" s="590"/>
      <c r="N213" s="675" t="s">
        <v>119</v>
      </c>
      <c r="O213" s="675" t="s">
        <v>166</v>
      </c>
      <c r="P213" s="387">
        <v>600.0</v>
      </c>
      <c r="Q213" s="675" t="s">
        <v>768</v>
      </c>
      <c r="R213" s="471">
        <f t="shared" si="1"/>
        <v>2</v>
      </c>
      <c r="S213" s="564">
        <v>45975.0</v>
      </c>
      <c r="T213" s="598">
        <v>45976.0</v>
      </c>
      <c r="U213" s="162" t="str">
        <f t="shared" si="2"/>
        <v>11 days</v>
      </c>
      <c r="V213" s="712">
        <v>45964.0</v>
      </c>
      <c r="W213" s="471" t="s">
        <v>1027</v>
      </c>
      <c r="X213" s="402" t="s">
        <v>29</v>
      </c>
      <c r="Y213" s="387" t="s">
        <v>29</v>
      </c>
      <c r="Z213" s="568"/>
      <c r="AA213" s="686" t="s">
        <v>133</v>
      </c>
      <c r="AB213" s="668" t="b">
        <v>0</v>
      </c>
      <c r="AC213" s="669" t="b">
        <v>0</v>
      </c>
      <c r="AD213" s="669" t="b">
        <v>0</v>
      </c>
      <c r="AE213" s="620" t="b">
        <v>0</v>
      </c>
      <c r="AF213" s="620" t="b">
        <v>0</v>
      </c>
      <c r="AG213" s="475" t="b">
        <v>0</v>
      </c>
      <c r="AH213" s="433"/>
      <c r="AI213" s="680">
        <v>1.8842472E9</v>
      </c>
      <c r="AJ213" s="680"/>
      <c r="AK213" s="568"/>
      <c r="AL213" s="568"/>
      <c r="AM213" s="568"/>
      <c r="AN213" s="441"/>
      <c r="AO213" s="713"/>
      <c r="AP213" s="713"/>
      <c r="AQ213" s="713"/>
      <c r="AR213" s="161" t="b">
        <v>0</v>
      </c>
      <c r="AS213" s="465" t="b">
        <v>0</v>
      </c>
      <c r="AT213" s="404"/>
      <c r="AU213" s="404"/>
      <c r="AV213" s="404"/>
    </row>
    <row r="214">
      <c r="A214" s="404"/>
      <c r="B214" s="554">
        <v>45930.0</v>
      </c>
      <c r="C214" s="581" t="s">
        <v>113</v>
      </c>
      <c r="D214" s="692" t="s">
        <v>652</v>
      </c>
      <c r="E214" s="579"/>
      <c r="F214" s="557" t="s">
        <v>1028</v>
      </c>
      <c r="G214" s="557" t="s">
        <v>256</v>
      </c>
      <c r="H214" s="582"/>
      <c r="I214" s="693" t="s">
        <v>1029</v>
      </c>
      <c r="J214" s="579" t="s">
        <v>118</v>
      </c>
      <c r="K214" s="699" t="s">
        <v>1030</v>
      </c>
      <c r="L214" s="725" t="s">
        <v>1031</v>
      </c>
      <c r="M214" s="585"/>
      <c r="N214" s="693" t="s">
        <v>119</v>
      </c>
      <c r="O214" s="693" t="s">
        <v>182</v>
      </c>
      <c r="P214" s="557">
        <v>400.0</v>
      </c>
      <c r="Q214" s="696" t="s">
        <v>1032</v>
      </c>
      <c r="R214" s="471">
        <f t="shared" si="1"/>
        <v>3</v>
      </c>
      <c r="S214" s="564">
        <v>45980.0</v>
      </c>
      <c r="T214" s="587">
        <v>45982.0</v>
      </c>
      <c r="U214" s="566" t="str">
        <f t="shared" si="2"/>
        <v>50 days</v>
      </c>
      <c r="V214" s="587">
        <v>45930.0</v>
      </c>
      <c r="W214" s="471" t="s">
        <v>1033</v>
      </c>
      <c r="X214" s="559" t="s">
        <v>29</v>
      </c>
      <c r="Y214" s="555" t="s">
        <v>29</v>
      </c>
      <c r="Z214" s="525"/>
      <c r="AA214" s="432"/>
      <c r="AB214" s="645" t="b">
        <v>1</v>
      </c>
      <c r="AC214" s="646" t="b">
        <v>0</v>
      </c>
      <c r="AD214" s="646" t="b">
        <v>0</v>
      </c>
      <c r="AE214" s="647" t="b">
        <v>0</v>
      </c>
      <c r="AF214" s="647" t="b">
        <v>0</v>
      </c>
      <c r="AG214" s="475" t="b">
        <v>0</v>
      </c>
      <c r="AH214" s="648"/>
      <c r="AI214" s="505">
        <v>2.5463955E8</v>
      </c>
      <c r="AJ214" s="107"/>
      <c r="AK214" s="436"/>
      <c r="AL214" s="436"/>
      <c r="AM214" s="436"/>
      <c r="AN214" s="436"/>
      <c r="AO214" s="438"/>
      <c r="AP214" s="438"/>
      <c r="AQ214" s="438"/>
      <c r="AR214" s="702" t="b">
        <v>0</v>
      </c>
      <c r="AS214" s="602" t="b">
        <v>0</v>
      </c>
      <c r="AT214" s="404"/>
      <c r="AU214" s="404"/>
      <c r="AV214" s="404"/>
    </row>
    <row r="215">
      <c r="A215" s="404"/>
      <c r="B215" s="554">
        <v>45918.0</v>
      </c>
      <c r="C215" s="555" t="s">
        <v>113</v>
      </c>
      <c r="D215" s="692" t="s">
        <v>136</v>
      </c>
      <c r="E215" s="556"/>
      <c r="F215" s="557" t="s">
        <v>115</v>
      </c>
      <c r="G215" s="557" t="s">
        <v>192</v>
      </c>
      <c r="H215" s="479"/>
      <c r="I215" s="693" t="s">
        <v>1034</v>
      </c>
      <c r="J215" s="693" t="s">
        <v>118</v>
      </c>
      <c r="K215" s="729" t="s">
        <v>1035</v>
      </c>
      <c r="L215" s="729"/>
      <c r="M215" s="705"/>
      <c r="N215" s="696" t="s">
        <v>345</v>
      </c>
      <c r="O215" s="696" t="s">
        <v>120</v>
      </c>
      <c r="P215" s="557">
        <v>24.0</v>
      </c>
      <c r="Q215" s="696" t="s">
        <v>415</v>
      </c>
      <c r="R215" s="471">
        <f t="shared" si="1"/>
        <v>1</v>
      </c>
      <c r="S215" s="564">
        <v>45982.0</v>
      </c>
      <c r="T215" s="587">
        <v>45982.0</v>
      </c>
      <c r="U215" s="485" t="str">
        <f t="shared" si="2"/>
        <v>64 days</v>
      </c>
      <c r="V215" s="587">
        <v>45918.0</v>
      </c>
      <c r="W215" s="471" t="s">
        <v>1036</v>
      </c>
      <c r="X215" s="693" t="s">
        <v>29</v>
      </c>
      <c r="Y215" s="557" t="s">
        <v>29</v>
      </c>
      <c r="Z215" s="568"/>
      <c r="AA215" s="686" t="s">
        <v>123</v>
      </c>
      <c r="AB215" s="396" t="b">
        <v>1</v>
      </c>
      <c r="AC215" s="669" t="b">
        <v>0</v>
      </c>
      <c r="AD215" s="669" t="b">
        <v>0</v>
      </c>
      <c r="AE215" s="620" t="b">
        <v>0</v>
      </c>
      <c r="AF215" s="620" t="b">
        <v>0</v>
      </c>
      <c r="AG215" s="475" t="b">
        <v>0</v>
      </c>
      <c r="AH215" s="433"/>
      <c r="AI215" s="697">
        <v>1.8537E7</v>
      </c>
      <c r="AJ215" s="697"/>
      <c r="AK215" s="698"/>
      <c r="AL215" s="698"/>
      <c r="AM215" s="698"/>
      <c r="AN215" s="579"/>
      <c r="AO215" s="547"/>
      <c r="AP215" s="547"/>
      <c r="AQ215" s="547"/>
      <c r="AR215" s="490" t="b">
        <v>0</v>
      </c>
      <c r="AS215" s="484" t="b">
        <v>0</v>
      </c>
      <c r="AT215" s="103"/>
      <c r="AU215" s="404"/>
      <c r="AV215" s="404"/>
    </row>
    <row r="216">
      <c r="A216" s="404"/>
      <c r="B216" s="413">
        <v>45919.0</v>
      </c>
      <c r="C216" s="414" t="s">
        <v>113</v>
      </c>
      <c r="D216" s="415" t="s">
        <v>136</v>
      </c>
      <c r="E216" s="594"/>
      <c r="F216" s="387" t="s">
        <v>115</v>
      </c>
      <c r="G216" s="387" t="s">
        <v>441</v>
      </c>
      <c r="H216" s="166"/>
      <c r="I216" s="595" t="s">
        <v>1037</v>
      </c>
      <c r="J216" s="730" t="s">
        <v>118</v>
      </c>
      <c r="K216" s="731"/>
      <c r="L216" s="732"/>
      <c r="M216" s="569"/>
      <c r="N216" s="436" t="s">
        <v>119</v>
      </c>
      <c r="O216" s="436" t="s">
        <v>120</v>
      </c>
      <c r="P216" s="414">
        <v>800.0</v>
      </c>
      <c r="Q216" s="425" t="s">
        <v>601</v>
      </c>
      <c r="R216" s="471">
        <f t="shared" si="1"/>
        <v>1</v>
      </c>
      <c r="S216" s="564">
        <v>45982.0</v>
      </c>
      <c r="T216" s="598">
        <v>45982.0</v>
      </c>
      <c r="U216" s="428" t="str">
        <f t="shared" si="2"/>
        <v>63 days</v>
      </c>
      <c r="V216" s="599">
        <v>45919.0</v>
      </c>
      <c r="W216" s="471" t="s">
        <v>1038</v>
      </c>
      <c r="X216" s="436" t="s">
        <v>29</v>
      </c>
      <c r="Y216" s="414" t="s">
        <v>29</v>
      </c>
      <c r="Z216" s="568"/>
      <c r="AA216" s="432"/>
      <c r="AB216" s="668" t="b">
        <v>0</v>
      </c>
      <c r="AC216" s="397" t="b">
        <v>1</v>
      </c>
      <c r="AD216" s="669" t="b">
        <v>0</v>
      </c>
      <c r="AE216" s="398" t="b">
        <v>0</v>
      </c>
      <c r="AF216" s="620" t="b">
        <v>0</v>
      </c>
      <c r="AG216" s="475" t="b">
        <v>0</v>
      </c>
      <c r="AH216" s="433"/>
      <c r="AI216" s="600">
        <v>1.06335721E9</v>
      </c>
      <c r="AJ216" s="435"/>
      <c r="AK216" s="568"/>
      <c r="AL216" s="568"/>
      <c r="AM216" s="568"/>
      <c r="AN216" s="568"/>
      <c r="AO216" s="438"/>
      <c r="AP216" s="438"/>
      <c r="AQ216" s="438"/>
      <c r="AR216" s="702" t="b">
        <v>0</v>
      </c>
      <c r="AS216" s="602" t="b">
        <v>0</v>
      </c>
      <c r="AT216" s="441"/>
      <c r="AU216" s="404"/>
      <c r="AV216" s="404"/>
    </row>
    <row r="217">
      <c r="A217" s="404"/>
      <c r="B217" s="554">
        <v>45938.0</v>
      </c>
      <c r="C217" s="555" t="s">
        <v>113</v>
      </c>
      <c r="D217" s="692" t="s">
        <v>136</v>
      </c>
      <c r="E217" s="579"/>
      <c r="F217" s="557" t="s">
        <v>115</v>
      </c>
      <c r="G217" s="557" t="s">
        <v>287</v>
      </c>
      <c r="H217" s="582"/>
      <c r="I217" s="693" t="s">
        <v>1039</v>
      </c>
      <c r="J217" s="693" t="s">
        <v>118</v>
      </c>
      <c r="K217" s="699" t="s">
        <v>1040</v>
      </c>
      <c r="L217" s="693"/>
      <c r="M217" s="585"/>
      <c r="N217" s="693" t="s">
        <v>119</v>
      </c>
      <c r="O217" s="693" t="s">
        <v>120</v>
      </c>
      <c r="P217" s="557">
        <v>120.0</v>
      </c>
      <c r="Q217" s="696" t="s">
        <v>1041</v>
      </c>
      <c r="R217" s="471">
        <f t="shared" si="1"/>
        <v>1</v>
      </c>
      <c r="S217" s="708">
        <v>45982.0</v>
      </c>
      <c r="T217" s="733">
        <v>45982.0</v>
      </c>
      <c r="U217" s="566" t="str">
        <f t="shared" si="2"/>
        <v>44 days</v>
      </c>
      <c r="V217" s="587">
        <v>45938.0</v>
      </c>
      <c r="W217" s="471" t="s">
        <v>1042</v>
      </c>
      <c r="X217" s="559" t="s">
        <v>29</v>
      </c>
      <c r="Y217" s="555" t="s">
        <v>29</v>
      </c>
      <c r="Z217" s="525"/>
      <c r="AA217" s="432"/>
      <c r="AB217" s="645" t="b">
        <v>1</v>
      </c>
      <c r="AC217" s="690" t="b">
        <v>0</v>
      </c>
      <c r="AD217" s="646" t="b">
        <v>0</v>
      </c>
      <c r="AE217" s="691" t="b">
        <v>0</v>
      </c>
      <c r="AF217" s="647" t="b">
        <v>0</v>
      </c>
      <c r="AG217" s="475" t="b">
        <v>0</v>
      </c>
      <c r="AH217" s="648"/>
      <c r="AI217" s="505">
        <v>6.0828E7</v>
      </c>
      <c r="AJ217" s="107"/>
      <c r="AK217" s="436"/>
      <c r="AL217" s="436"/>
      <c r="AM217" s="436"/>
      <c r="AN217" s="436"/>
      <c r="AO217" s="438"/>
      <c r="AP217" s="438"/>
      <c r="AQ217" s="438"/>
      <c r="AR217" s="702" t="b">
        <v>0</v>
      </c>
      <c r="AS217" s="602" t="b">
        <v>0</v>
      </c>
      <c r="AT217" s="404"/>
      <c r="AU217" s="404"/>
      <c r="AV217" s="404"/>
    </row>
    <row r="218">
      <c r="A218" s="404"/>
      <c r="B218" s="477">
        <v>45957.0</v>
      </c>
      <c r="C218" s="506" t="s">
        <v>113</v>
      </c>
      <c r="D218" s="632" t="s">
        <v>136</v>
      </c>
      <c r="E218" s="103"/>
      <c r="F218" s="478" t="s">
        <v>115</v>
      </c>
      <c r="G218" s="478" t="s">
        <v>192</v>
      </c>
      <c r="H218" s="479"/>
      <c r="I218" s="495" t="s">
        <v>1043</v>
      </c>
      <c r="J218" s="480" t="s">
        <v>118</v>
      </c>
      <c r="K218" s="481" t="s">
        <v>1044</v>
      </c>
      <c r="L218" s="482" t="s">
        <v>1045</v>
      </c>
      <c r="M218" s="507"/>
      <c r="N218" s="480" t="s">
        <v>155</v>
      </c>
      <c r="O218" s="480" t="s">
        <v>120</v>
      </c>
      <c r="P218" s="106">
        <v>13.0</v>
      </c>
      <c r="Q218" s="495" t="s">
        <v>415</v>
      </c>
      <c r="R218" s="471">
        <f t="shared" si="1"/>
        <v>1</v>
      </c>
      <c r="S218" s="464">
        <v>45982.0</v>
      </c>
      <c r="T218" s="527">
        <v>45982.0</v>
      </c>
      <c r="U218" s="485" t="str">
        <f t="shared" si="2"/>
        <v>25 days</v>
      </c>
      <c r="V218" s="486">
        <v>45957.0</v>
      </c>
      <c r="W218" s="471" t="s">
        <v>1046</v>
      </c>
      <c r="X218" s="480" t="s">
        <v>29</v>
      </c>
      <c r="Y218" s="478" t="s">
        <v>29</v>
      </c>
      <c r="Z218" s="508"/>
      <c r="AA218" s="644"/>
      <c r="AB218" s="645" t="b">
        <v>1</v>
      </c>
      <c r="AC218" s="690" t="b">
        <v>1</v>
      </c>
      <c r="AD218" s="690" t="b">
        <v>1</v>
      </c>
      <c r="AE218" s="691" t="b">
        <v>1</v>
      </c>
      <c r="AF218" s="691" t="b">
        <v>1</v>
      </c>
      <c r="AG218" s="475" t="b">
        <v>0</v>
      </c>
      <c r="AH218" s="648"/>
      <c r="AI218" s="505">
        <v>1.23765E7</v>
      </c>
      <c r="AJ218" s="505"/>
      <c r="AK218" s="698"/>
      <c r="AL218" s="698"/>
      <c r="AM218" s="512"/>
      <c r="AN218" s="579"/>
      <c r="AO218" s="438"/>
      <c r="AP218" s="438"/>
      <c r="AQ218" s="438"/>
      <c r="AR218" s="702" t="b">
        <v>0</v>
      </c>
      <c r="AS218" s="602" t="b">
        <v>0</v>
      </c>
      <c r="AT218" s="103"/>
      <c r="AU218" s="404"/>
      <c r="AV218" s="404"/>
    </row>
    <row r="219">
      <c r="A219" s="404"/>
      <c r="B219" s="477">
        <v>45960.0</v>
      </c>
      <c r="C219" s="506" t="s">
        <v>113</v>
      </c>
      <c r="D219" s="632" t="s">
        <v>136</v>
      </c>
      <c r="E219" s="106" t="s">
        <v>1047</v>
      </c>
      <c r="F219" s="478" t="s">
        <v>115</v>
      </c>
      <c r="G219" s="478" t="s">
        <v>116</v>
      </c>
      <c r="H219" s="479"/>
      <c r="I219" s="495" t="s">
        <v>1048</v>
      </c>
      <c r="J219" s="402" t="s">
        <v>118</v>
      </c>
      <c r="K219" s="481" t="s">
        <v>1049</v>
      </c>
      <c r="L219" s="481"/>
      <c r="M219" s="507"/>
      <c r="N219" s="480" t="s">
        <v>182</v>
      </c>
      <c r="O219" s="480" t="s">
        <v>182</v>
      </c>
      <c r="P219" s="106"/>
      <c r="Q219" s="495" t="s">
        <v>415</v>
      </c>
      <c r="R219" s="471">
        <f t="shared" si="1"/>
        <v>1</v>
      </c>
      <c r="S219" s="464">
        <v>45982.0</v>
      </c>
      <c r="T219" s="527">
        <v>45982.0</v>
      </c>
      <c r="U219" s="485" t="str">
        <f t="shared" si="2"/>
        <v>22 days</v>
      </c>
      <c r="V219" s="486">
        <v>45960.0</v>
      </c>
      <c r="W219" s="471" t="s">
        <v>1050</v>
      </c>
      <c r="X219" s="480" t="s">
        <v>29</v>
      </c>
      <c r="Y219" s="478" t="s">
        <v>29</v>
      </c>
      <c r="Z219" s="508"/>
      <c r="AA219" s="734" t="s">
        <v>123</v>
      </c>
      <c r="AB219" s="645" t="b">
        <v>0</v>
      </c>
      <c r="AC219" s="690" t="b">
        <v>0</v>
      </c>
      <c r="AD219" s="690" t="b">
        <v>0</v>
      </c>
      <c r="AE219" s="691" t="b">
        <v>0</v>
      </c>
      <c r="AF219" s="691" t="b">
        <v>0</v>
      </c>
      <c r="AG219" s="475" t="b">
        <v>0</v>
      </c>
      <c r="AH219" s="648"/>
      <c r="AI219" s="505">
        <v>2.4753E7</v>
      </c>
      <c r="AJ219" s="505"/>
      <c r="AK219" s="698"/>
      <c r="AL219" s="698"/>
      <c r="AM219" s="512"/>
      <c r="AN219" s="579"/>
      <c r="AO219" s="438"/>
      <c r="AP219" s="438"/>
      <c r="AQ219" s="438"/>
      <c r="AR219" s="702" t="b">
        <v>0</v>
      </c>
      <c r="AS219" s="602" t="b">
        <v>0</v>
      </c>
      <c r="AT219" s="103"/>
      <c r="AU219" s="404"/>
      <c r="AV219" s="404"/>
    </row>
    <row r="220">
      <c r="A220" s="404"/>
      <c r="B220" s="554">
        <v>45825.0</v>
      </c>
      <c r="C220" s="555" t="s">
        <v>113</v>
      </c>
      <c r="D220" s="692" t="s">
        <v>143</v>
      </c>
      <c r="E220" s="693" t="s">
        <v>1051</v>
      </c>
      <c r="F220" s="557" t="s">
        <v>153</v>
      </c>
      <c r="G220" s="557" t="s">
        <v>153</v>
      </c>
      <c r="H220" s="582"/>
      <c r="I220" s="693" t="s">
        <v>1052</v>
      </c>
      <c r="J220" s="693" t="s">
        <v>644</v>
      </c>
      <c r="K220" s="699" t="s">
        <v>1053</v>
      </c>
      <c r="L220" s="579"/>
      <c r="M220" s="585"/>
      <c r="N220" s="693" t="s">
        <v>182</v>
      </c>
      <c r="O220" s="693" t="s">
        <v>182</v>
      </c>
      <c r="P220" s="557">
        <v>1000.0</v>
      </c>
      <c r="Q220" s="696" t="s">
        <v>1054</v>
      </c>
      <c r="R220" s="471">
        <f t="shared" si="1"/>
        <v>1</v>
      </c>
      <c r="S220" s="708">
        <v>45983.0</v>
      </c>
      <c r="T220" s="733">
        <v>45983.0</v>
      </c>
      <c r="U220" s="566" t="str">
        <f t="shared" si="2"/>
        <v>158 days</v>
      </c>
      <c r="V220" s="587">
        <v>45825.0</v>
      </c>
      <c r="W220" s="471" t="s">
        <v>1055</v>
      </c>
      <c r="X220" s="559" t="s">
        <v>29</v>
      </c>
      <c r="Y220" s="555" t="s">
        <v>29</v>
      </c>
      <c r="Z220" s="525"/>
      <c r="AA220" s="686" t="s">
        <v>225</v>
      </c>
      <c r="AB220" s="645" t="b">
        <v>0</v>
      </c>
      <c r="AC220" s="646" t="b">
        <v>0</v>
      </c>
      <c r="AD220" s="646" t="b">
        <v>0</v>
      </c>
      <c r="AE220" s="647" t="b">
        <v>0</v>
      </c>
      <c r="AF220" s="647" t="b">
        <v>0</v>
      </c>
      <c r="AG220" s="475" t="b">
        <v>0</v>
      </c>
      <c r="AH220" s="648"/>
      <c r="AI220" s="505">
        <v>4.7795E7</v>
      </c>
      <c r="AJ220" s="107"/>
      <c r="AK220" s="436"/>
      <c r="AL220" s="436"/>
      <c r="AM220" s="436"/>
      <c r="AN220" s="436"/>
      <c r="AO220" s="438"/>
      <c r="AP220" s="438"/>
      <c r="AQ220" s="438"/>
      <c r="AR220" s="702" t="b">
        <v>0</v>
      </c>
      <c r="AS220" s="602" t="b">
        <v>0</v>
      </c>
      <c r="AT220" s="404"/>
      <c r="AU220" s="404"/>
      <c r="AV220" s="404"/>
    </row>
    <row r="221">
      <c r="A221" s="404"/>
      <c r="B221" s="554">
        <v>45827.0</v>
      </c>
      <c r="C221" s="555" t="s">
        <v>113</v>
      </c>
      <c r="D221" s="692" t="s">
        <v>143</v>
      </c>
      <c r="E221" s="693" t="s">
        <v>1051</v>
      </c>
      <c r="F221" s="557" t="s">
        <v>153</v>
      </c>
      <c r="G221" s="557" t="s">
        <v>153</v>
      </c>
      <c r="H221" s="582"/>
      <c r="I221" s="693" t="s">
        <v>1056</v>
      </c>
      <c r="J221" s="693" t="s">
        <v>644</v>
      </c>
      <c r="K221" s="699" t="s">
        <v>1053</v>
      </c>
      <c r="L221" s="579"/>
      <c r="M221" s="585"/>
      <c r="N221" s="693" t="s">
        <v>182</v>
      </c>
      <c r="O221" s="693" t="s">
        <v>182</v>
      </c>
      <c r="P221" s="557">
        <v>1000.0</v>
      </c>
      <c r="Q221" s="696" t="s">
        <v>1054</v>
      </c>
      <c r="R221" s="471">
        <f t="shared" si="1"/>
        <v>1</v>
      </c>
      <c r="S221" s="708">
        <v>45983.0</v>
      </c>
      <c r="T221" s="733">
        <v>45983.0</v>
      </c>
      <c r="U221" s="566" t="str">
        <f t="shared" si="2"/>
        <v>156 days</v>
      </c>
      <c r="V221" s="587">
        <v>45827.0</v>
      </c>
      <c r="W221" s="471" t="s">
        <v>1057</v>
      </c>
      <c r="X221" s="559" t="s">
        <v>131</v>
      </c>
      <c r="Y221" s="555" t="s">
        <v>132</v>
      </c>
      <c r="Z221" s="392" t="s">
        <v>1058</v>
      </c>
      <c r="AA221" s="432"/>
      <c r="AB221" s="645" t="b">
        <v>1</v>
      </c>
      <c r="AC221" s="690" t="b">
        <v>0</v>
      </c>
      <c r="AD221" s="646" t="b">
        <v>0</v>
      </c>
      <c r="AE221" s="691" t="b">
        <v>0</v>
      </c>
      <c r="AF221" s="647" t="b">
        <v>0</v>
      </c>
      <c r="AG221" s="475" t="b">
        <v>0</v>
      </c>
      <c r="AH221" s="648"/>
      <c r="AI221" s="505">
        <v>1.51305E7</v>
      </c>
      <c r="AJ221" s="107"/>
      <c r="AK221" s="436" t="s">
        <v>134</v>
      </c>
      <c r="AL221" s="436" t="s">
        <v>134</v>
      </c>
      <c r="AM221" s="436" t="s">
        <v>134</v>
      </c>
      <c r="AN221" s="436" t="s">
        <v>135</v>
      </c>
      <c r="AO221" s="438"/>
      <c r="AP221" s="438"/>
      <c r="AQ221" s="438"/>
      <c r="AR221" s="702" t="b">
        <v>0</v>
      </c>
      <c r="AS221" s="602" t="b">
        <v>0</v>
      </c>
      <c r="AT221" s="404"/>
      <c r="AU221" s="404"/>
      <c r="AV221" s="404"/>
    </row>
    <row r="222">
      <c r="A222" s="404"/>
      <c r="B222" s="250">
        <v>45834.0</v>
      </c>
      <c r="C222" s="251" t="s">
        <v>113</v>
      </c>
      <c r="D222" s="252" t="s">
        <v>250</v>
      </c>
      <c r="E222" s="270"/>
      <c r="F222" s="251" t="s">
        <v>170</v>
      </c>
      <c r="G222" s="251" t="s">
        <v>170</v>
      </c>
      <c r="H222" s="166"/>
      <c r="I222" s="261" t="s">
        <v>1059</v>
      </c>
      <c r="J222" s="261" t="s">
        <v>118</v>
      </c>
      <c r="K222" s="461" t="s">
        <v>1060</v>
      </c>
      <c r="L222" s="735" t="s">
        <v>1061</v>
      </c>
      <c r="M222" s="463"/>
      <c r="N222" s="261" t="s">
        <v>119</v>
      </c>
      <c r="O222" s="261" t="s">
        <v>196</v>
      </c>
      <c r="P222" s="251">
        <v>320.0</v>
      </c>
      <c r="Q222" s="261" t="s">
        <v>1062</v>
      </c>
      <c r="R222" s="471">
        <f t="shared" si="1"/>
        <v>1</v>
      </c>
      <c r="S222" s="464">
        <v>45983.0</v>
      </c>
      <c r="T222" s="468">
        <v>45983.0</v>
      </c>
      <c r="U222" s="162" t="str">
        <f t="shared" si="2"/>
        <v>149 days</v>
      </c>
      <c r="V222" s="466">
        <v>45834.0</v>
      </c>
      <c r="W222" s="471" t="s">
        <v>1063</v>
      </c>
      <c r="X222" s="261" t="s">
        <v>131</v>
      </c>
      <c r="Y222" s="251" t="s">
        <v>132</v>
      </c>
      <c r="Z222" s="174"/>
      <c r="AA222" s="264"/>
      <c r="AB222" s="162" t="b">
        <v>1</v>
      </c>
      <c r="AC222" s="175" t="b">
        <v>1</v>
      </c>
      <c r="AD222" s="272" t="b">
        <v>0</v>
      </c>
      <c r="AE222" s="180" t="b">
        <v>1</v>
      </c>
      <c r="AF222" s="181" t="b">
        <v>0</v>
      </c>
      <c r="AG222" s="475" t="b">
        <v>0</v>
      </c>
      <c r="AH222" s="166"/>
      <c r="AI222" s="266">
        <v>2.2526229E8</v>
      </c>
      <c r="AJ222" s="266"/>
      <c r="AK222" s="251" t="s">
        <v>30</v>
      </c>
      <c r="AL222" s="251" t="s">
        <v>30</v>
      </c>
      <c r="AM222" s="251" t="s">
        <v>1064</v>
      </c>
      <c r="AN222" s="251" t="s">
        <v>620</v>
      </c>
      <c r="AO222" s="269"/>
      <c r="AP222" s="269"/>
      <c r="AQ222" s="269"/>
      <c r="AR222" s="161" t="b">
        <v>0</v>
      </c>
      <c r="AS222" s="465" t="b">
        <v>0</v>
      </c>
      <c r="AT222" s="270"/>
      <c r="AU222" s="404"/>
      <c r="AV222" s="404"/>
    </row>
    <row r="223">
      <c r="A223" s="103"/>
      <c r="B223" s="689">
        <v>45833.0</v>
      </c>
      <c r="C223" s="478" t="s">
        <v>113</v>
      </c>
      <c r="D223" s="634" t="s">
        <v>250</v>
      </c>
      <c r="E223" s="103"/>
      <c r="F223" s="478" t="s">
        <v>115</v>
      </c>
      <c r="G223" s="478" t="s">
        <v>441</v>
      </c>
      <c r="H223" s="479"/>
      <c r="I223" s="495" t="s">
        <v>1065</v>
      </c>
      <c r="J223" s="480" t="s">
        <v>146</v>
      </c>
      <c r="K223" s="736" t="s">
        <v>622</v>
      </c>
      <c r="L223" s="736" t="s">
        <v>623</v>
      </c>
      <c r="M223" s="497"/>
      <c r="N223" s="480" t="s">
        <v>119</v>
      </c>
      <c r="O223" s="480" t="s">
        <v>209</v>
      </c>
      <c r="P223" s="106">
        <v>160.0</v>
      </c>
      <c r="Q223" s="495" t="s">
        <v>601</v>
      </c>
      <c r="R223" s="471">
        <f t="shared" si="1"/>
        <v>1</v>
      </c>
      <c r="S223" s="464">
        <v>45986.0</v>
      </c>
      <c r="T223" s="527">
        <v>45986.0</v>
      </c>
      <c r="U223" s="485" t="str">
        <f t="shared" si="2"/>
        <v>153 days</v>
      </c>
      <c r="V223" s="486">
        <v>45833.0</v>
      </c>
      <c r="W223" s="471" t="s">
        <v>1066</v>
      </c>
      <c r="X223" s="480" t="s">
        <v>131</v>
      </c>
      <c r="Y223" s="478" t="s">
        <v>132</v>
      </c>
      <c r="Z223" s="104"/>
      <c r="AA223" s="656"/>
      <c r="AB223" s="485" t="b">
        <v>0</v>
      </c>
      <c r="AC223" s="471" t="b">
        <v>0</v>
      </c>
      <c r="AD223" s="471" t="b">
        <v>0</v>
      </c>
      <c r="AE223" s="475" t="b">
        <v>0</v>
      </c>
      <c r="AF223" s="475" t="b">
        <v>0</v>
      </c>
      <c r="AG223" s="475" t="b">
        <v>0</v>
      </c>
      <c r="AH223" s="479"/>
      <c r="AI223" s="491">
        <f>750000*160</f>
        <v>120000000</v>
      </c>
      <c r="AJ223" s="491"/>
      <c r="AK223" s="478" t="s">
        <v>134</v>
      </c>
      <c r="AL223" s="478" t="s">
        <v>134</v>
      </c>
      <c r="AM223" s="478" t="s">
        <v>134</v>
      </c>
      <c r="AN223" s="478" t="s">
        <v>620</v>
      </c>
      <c r="AO223" s="499"/>
      <c r="AP223" s="499"/>
      <c r="AQ223" s="499"/>
      <c r="AR223" s="490" t="b">
        <v>0</v>
      </c>
      <c r="AS223" s="484" t="b">
        <v>0</v>
      </c>
      <c r="AT223" s="103"/>
      <c r="AU223" s="404"/>
      <c r="AV223" s="404"/>
    </row>
    <row r="224">
      <c r="A224" s="103"/>
      <c r="B224" s="250">
        <v>45841.0</v>
      </c>
      <c r="C224" s="251" t="s">
        <v>113</v>
      </c>
      <c r="D224" s="252" t="s">
        <v>250</v>
      </c>
      <c r="E224" s="270"/>
      <c r="F224" s="251" t="s">
        <v>170</v>
      </c>
      <c r="G224" s="251" t="s">
        <v>170</v>
      </c>
      <c r="H224" s="166"/>
      <c r="I224" s="261" t="s">
        <v>1067</v>
      </c>
      <c r="J224" s="261" t="s">
        <v>118</v>
      </c>
      <c r="K224" s="461" t="s">
        <v>788</v>
      </c>
      <c r="L224" s="462" t="s">
        <v>789</v>
      </c>
      <c r="M224" s="257"/>
      <c r="N224" s="261" t="s">
        <v>127</v>
      </c>
      <c r="O224" s="261" t="s">
        <v>166</v>
      </c>
      <c r="P224" s="251">
        <v>540.0</v>
      </c>
      <c r="Q224" s="261" t="s">
        <v>616</v>
      </c>
      <c r="R224" s="471">
        <f t="shared" si="1"/>
        <v>1</v>
      </c>
      <c r="S224" s="464">
        <v>45988.0</v>
      </c>
      <c r="T224" s="468">
        <v>45988.0</v>
      </c>
      <c r="U224" s="162" t="str">
        <f t="shared" si="2"/>
        <v>147 days</v>
      </c>
      <c r="V224" s="466">
        <v>45841.0</v>
      </c>
      <c r="W224" s="471" t="s">
        <v>1068</v>
      </c>
      <c r="X224" s="261" t="s">
        <v>131</v>
      </c>
      <c r="Y224" s="251" t="s">
        <v>132</v>
      </c>
      <c r="Z224" s="172"/>
      <c r="AA224" s="264"/>
      <c r="AB224" s="162" t="b">
        <v>1</v>
      </c>
      <c r="AC224" s="175" t="b">
        <v>0</v>
      </c>
      <c r="AD224" s="175" t="b">
        <v>0</v>
      </c>
      <c r="AE224" s="180" t="b">
        <v>1</v>
      </c>
      <c r="AF224" s="180" t="b">
        <v>1</v>
      </c>
      <c r="AG224" s="475" t="b">
        <v>0</v>
      </c>
      <c r="AH224" s="166"/>
      <c r="AI224" s="266">
        <v>2.903045E8</v>
      </c>
      <c r="AJ224" s="266"/>
      <c r="AK224" s="251" t="s">
        <v>30</v>
      </c>
      <c r="AL224" s="251" t="s">
        <v>30</v>
      </c>
      <c r="AM224" s="251" t="s">
        <v>1064</v>
      </c>
      <c r="AN224" s="251" t="s">
        <v>620</v>
      </c>
      <c r="AO224" s="269"/>
      <c r="AP224" s="269"/>
      <c r="AQ224" s="269"/>
      <c r="AR224" s="161" t="b">
        <v>0</v>
      </c>
      <c r="AS224" s="465" t="b">
        <v>0</v>
      </c>
      <c r="AT224" s="270"/>
      <c r="AU224" s="103"/>
      <c r="AV224" s="103"/>
    </row>
    <row r="225">
      <c r="A225" s="404"/>
      <c r="B225" s="413">
        <v>45974.0</v>
      </c>
      <c r="C225" s="414" t="s">
        <v>113</v>
      </c>
      <c r="D225" s="415" t="s">
        <v>136</v>
      </c>
      <c r="E225" s="594"/>
      <c r="F225" s="387" t="s">
        <v>115</v>
      </c>
      <c r="G225" s="387" t="s">
        <v>162</v>
      </c>
      <c r="H225" s="166"/>
      <c r="I225" s="402" t="s">
        <v>1069</v>
      </c>
      <c r="J225" s="402" t="s">
        <v>146</v>
      </c>
      <c r="K225" s="694" t="s">
        <v>1070</v>
      </c>
      <c r="L225" s="694"/>
      <c r="M225" s="590"/>
      <c r="N225" s="675" t="s">
        <v>182</v>
      </c>
      <c r="O225" s="675" t="s">
        <v>182</v>
      </c>
      <c r="P225" s="387">
        <v>0.0</v>
      </c>
      <c r="Q225" s="675" t="s">
        <v>601</v>
      </c>
      <c r="R225" s="471">
        <f t="shared" si="1"/>
        <v>1</v>
      </c>
      <c r="S225" s="564">
        <v>45988.0</v>
      </c>
      <c r="T225" s="712">
        <v>45988.0</v>
      </c>
      <c r="U225" s="162" t="str">
        <f t="shared" si="2"/>
        <v>14 days</v>
      </c>
      <c r="V225" s="712">
        <v>45974.0</v>
      </c>
      <c r="W225" s="471" t="s">
        <v>1071</v>
      </c>
      <c r="X225" s="402" t="s">
        <v>131</v>
      </c>
      <c r="Y225" s="387" t="s">
        <v>132</v>
      </c>
      <c r="Z225" s="568"/>
      <c r="AA225" s="686"/>
      <c r="AB225" s="396" t="b">
        <v>1</v>
      </c>
      <c r="AC225" s="669" t="b">
        <v>0</v>
      </c>
      <c r="AD225" s="397" t="b">
        <v>1</v>
      </c>
      <c r="AE225" s="398" t="b">
        <v>1</v>
      </c>
      <c r="AF225" s="620" t="b">
        <v>0</v>
      </c>
      <c r="AG225" s="475" t="b">
        <v>0</v>
      </c>
      <c r="AH225" s="433"/>
      <c r="AI225" s="680">
        <v>2.2755E7</v>
      </c>
      <c r="AJ225" s="680"/>
      <c r="AK225" s="436" t="s">
        <v>40</v>
      </c>
      <c r="AL225" s="436" t="s">
        <v>40</v>
      </c>
      <c r="AM225" s="436" t="s">
        <v>1064</v>
      </c>
      <c r="AN225" s="402" t="s">
        <v>620</v>
      </c>
      <c r="AO225" s="713"/>
      <c r="AP225" s="713"/>
      <c r="AQ225" s="713"/>
      <c r="AR225" s="161" t="b">
        <v>0</v>
      </c>
      <c r="AS225" s="465" t="b">
        <v>0</v>
      </c>
      <c r="AT225" s="103"/>
      <c r="AU225" s="404"/>
      <c r="AV225" s="404"/>
    </row>
    <row r="226">
      <c r="A226" s="103"/>
      <c r="B226" s="554">
        <v>45915.0</v>
      </c>
      <c r="C226" s="555" t="s">
        <v>113</v>
      </c>
      <c r="D226" s="692" t="s">
        <v>143</v>
      </c>
      <c r="E226" s="693" t="s">
        <v>1072</v>
      </c>
      <c r="F226" s="557" t="s">
        <v>153</v>
      </c>
      <c r="G226" s="557" t="s">
        <v>441</v>
      </c>
      <c r="H226" s="582"/>
      <c r="I226" s="693" t="s">
        <v>1073</v>
      </c>
      <c r="J226" s="693" t="s">
        <v>146</v>
      </c>
      <c r="K226" s="699" t="s">
        <v>1074</v>
      </c>
      <c r="L226" s="579"/>
      <c r="M226" s="585"/>
      <c r="N226" s="693" t="s">
        <v>119</v>
      </c>
      <c r="O226" s="693" t="s">
        <v>166</v>
      </c>
      <c r="P226" s="557">
        <v>130.0</v>
      </c>
      <c r="Q226" s="696" t="s">
        <v>1075</v>
      </c>
      <c r="R226" s="471">
        <f t="shared" si="1"/>
        <v>3</v>
      </c>
      <c r="S226" s="708">
        <v>45989.0</v>
      </c>
      <c r="T226" s="733">
        <v>45991.0</v>
      </c>
      <c r="U226" s="566" t="str">
        <f t="shared" si="2"/>
        <v>73 days</v>
      </c>
      <c r="V226" s="587">
        <v>45916.0</v>
      </c>
      <c r="W226" s="471" t="s">
        <v>1076</v>
      </c>
      <c r="X226" s="559" t="s">
        <v>29</v>
      </c>
      <c r="Y226" s="555" t="s">
        <v>29</v>
      </c>
      <c r="Z226" s="525"/>
      <c r="AA226" s="432"/>
      <c r="AB226" s="645" t="b">
        <v>1</v>
      </c>
      <c r="AC226" s="690" t="b">
        <v>0</v>
      </c>
      <c r="AD226" s="646" t="b">
        <v>0</v>
      </c>
      <c r="AE226" s="691" t="b">
        <v>0</v>
      </c>
      <c r="AF226" s="647" t="b">
        <v>0</v>
      </c>
      <c r="AG226" s="475" t="b">
        <v>0</v>
      </c>
      <c r="AH226" s="648"/>
      <c r="AI226" s="505">
        <v>5.15976285E8</v>
      </c>
      <c r="AJ226" s="107"/>
      <c r="AK226" s="436"/>
      <c r="AL226" s="436"/>
      <c r="AM226" s="436"/>
      <c r="AN226" s="436"/>
      <c r="AO226" s="438"/>
      <c r="AP226" s="438"/>
      <c r="AQ226" s="438"/>
      <c r="AR226" s="702" t="b">
        <v>0</v>
      </c>
      <c r="AS226" s="602" t="b">
        <v>0</v>
      </c>
      <c r="AT226" s="404"/>
      <c r="AU226" s="404"/>
      <c r="AV226" s="404"/>
    </row>
    <row r="227">
      <c r="A227" s="404"/>
      <c r="B227" s="554">
        <v>45916.0</v>
      </c>
      <c r="C227" s="555" t="s">
        <v>113</v>
      </c>
      <c r="D227" s="692" t="s">
        <v>136</v>
      </c>
      <c r="E227" s="557" t="s">
        <v>1077</v>
      </c>
      <c r="F227" s="557" t="s">
        <v>1028</v>
      </c>
      <c r="G227" s="557" t="s">
        <v>162</v>
      </c>
      <c r="H227" s="479"/>
      <c r="I227" s="558" t="s">
        <v>1078</v>
      </c>
      <c r="J227" s="559" t="s">
        <v>118</v>
      </c>
      <c r="K227" s="737" t="s">
        <v>1079</v>
      </c>
      <c r="L227" s="725" t="s">
        <v>1080</v>
      </c>
      <c r="M227" s="562"/>
      <c r="N227" s="559" t="s">
        <v>119</v>
      </c>
      <c r="O227" s="559" t="s">
        <v>166</v>
      </c>
      <c r="P227" s="555">
        <v>55.0</v>
      </c>
      <c r="Q227" s="563" t="s">
        <v>1081</v>
      </c>
      <c r="R227" s="471">
        <f t="shared" si="1"/>
        <v>3</v>
      </c>
      <c r="S227" s="564">
        <v>45989.0</v>
      </c>
      <c r="T227" s="587">
        <v>45991.0</v>
      </c>
      <c r="U227" s="566" t="str">
        <f t="shared" si="2"/>
        <v>74 days</v>
      </c>
      <c r="V227" s="567">
        <v>45915.0</v>
      </c>
      <c r="W227" s="471" t="s">
        <v>1082</v>
      </c>
      <c r="X227" s="559" t="s">
        <v>131</v>
      </c>
      <c r="Y227" s="555" t="s">
        <v>132</v>
      </c>
      <c r="Z227" s="568"/>
      <c r="AA227" s="432"/>
      <c r="AB227" s="396" t="b">
        <v>1</v>
      </c>
      <c r="AC227" s="397" t="b">
        <v>1</v>
      </c>
      <c r="AD227" s="397" t="b">
        <v>1</v>
      </c>
      <c r="AE227" s="398" t="b">
        <v>1</v>
      </c>
      <c r="AF227" s="620" t="b">
        <v>0</v>
      </c>
      <c r="AG227" s="475" t="b">
        <v>1</v>
      </c>
      <c r="AH227" s="433"/>
      <c r="AI227" s="573">
        <f>642551250+34373592+81196500</f>
        <v>758121342</v>
      </c>
      <c r="AJ227" s="574"/>
      <c r="AK227" s="559" t="s">
        <v>134</v>
      </c>
      <c r="AL227" s="559" t="s">
        <v>134</v>
      </c>
      <c r="AM227" s="559" t="s">
        <v>134</v>
      </c>
      <c r="AN227" s="559" t="s">
        <v>620</v>
      </c>
      <c r="AO227" s="576"/>
      <c r="AP227" s="576"/>
      <c r="AQ227" s="576"/>
      <c r="AR227" s="588" t="b">
        <v>0</v>
      </c>
      <c r="AS227" s="578" t="b">
        <v>0</v>
      </c>
      <c r="AT227" s="579"/>
      <c r="AU227" s="404"/>
      <c r="AV227" s="404"/>
    </row>
    <row r="228">
      <c r="A228" s="103"/>
      <c r="B228" s="413">
        <v>45959.0</v>
      </c>
      <c r="C228" s="414" t="s">
        <v>113</v>
      </c>
      <c r="D228" s="415" t="s">
        <v>136</v>
      </c>
      <c r="E228" s="387"/>
      <c r="F228" s="387" t="s">
        <v>115</v>
      </c>
      <c r="G228" s="387" t="s">
        <v>170</v>
      </c>
      <c r="H228" s="166"/>
      <c r="I228" s="402" t="s">
        <v>1083</v>
      </c>
      <c r="J228" s="402" t="s">
        <v>118</v>
      </c>
      <c r="K228" s="694" t="s">
        <v>156</v>
      </c>
      <c r="L228" s="711" t="s">
        <v>1084</v>
      </c>
      <c r="M228" s="442"/>
      <c r="N228" s="675" t="s">
        <v>119</v>
      </c>
      <c r="O228" s="675" t="s">
        <v>174</v>
      </c>
      <c r="P228" s="387">
        <v>86.0</v>
      </c>
      <c r="Q228" s="675" t="s">
        <v>858</v>
      </c>
      <c r="R228" s="738"/>
      <c r="S228" s="564">
        <v>45989.0</v>
      </c>
      <c r="T228" s="598">
        <v>45989.0</v>
      </c>
      <c r="U228" s="162"/>
      <c r="V228" s="712">
        <v>45959.0</v>
      </c>
      <c r="W228" s="471" t="s">
        <v>1085</v>
      </c>
      <c r="X228" s="402" t="s">
        <v>131</v>
      </c>
      <c r="Y228" s="387" t="s">
        <v>132</v>
      </c>
      <c r="Z228" s="431"/>
      <c r="AA228" s="686"/>
      <c r="AB228" s="396" t="b">
        <v>1</v>
      </c>
      <c r="AC228" s="669" t="b">
        <v>0</v>
      </c>
      <c r="AD228" s="397" t="b">
        <v>1</v>
      </c>
      <c r="AE228" s="398" t="b">
        <v>1</v>
      </c>
      <c r="AF228" s="398" t="b">
        <v>1</v>
      </c>
      <c r="AG228" s="475" t="b">
        <v>1</v>
      </c>
      <c r="AH228" s="433"/>
      <c r="AI228" s="680">
        <f>112534575+25000000</f>
        <v>137534575</v>
      </c>
      <c r="AJ228" s="680"/>
      <c r="AK228" s="436" t="s">
        <v>134</v>
      </c>
      <c r="AL228" s="436" t="s">
        <v>134</v>
      </c>
      <c r="AM228" s="436" t="s">
        <v>134</v>
      </c>
      <c r="AN228" s="402" t="s">
        <v>620</v>
      </c>
      <c r="AO228" s="713"/>
      <c r="AP228" s="713"/>
      <c r="AQ228" s="713"/>
      <c r="AR228" s="161"/>
      <c r="AS228" s="465"/>
      <c r="AT228" s="103"/>
      <c r="AU228" s="103"/>
      <c r="AV228" s="103"/>
    </row>
    <row r="229">
      <c r="A229" s="103"/>
      <c r="B229" s="554">
        <v>45934.0</v>
      </c>
      <c r="C229" s="555" t="s">
        <v>113</v>
      </c>
      <c r="D229" s="692" t="s">
        <v>136</v>
      </c>
      <c r="E229" s="693" t="s">
        <v>1047</v>
      </c>
      <c r="F229" s="557" t="s">
        <v>115</v>
      </c>
      <c r="G229" s="557" t="s">
        <v>116</v>
      </c>
      <c r="H229" s="579"/>
      <c r="I229" s="693" t="s">
        <v>1086</v>
      </c>
      <c r="J229" s="693" t="s">
        <v>118</v>
      </c>
      <c r="K229" s="707" t="s">
        <v>1087</v>
      </c>
      <c r="L229" s="717"/>
      <c r="M229" s="579"/>
      <c r="N229" s="693" t="s">
        <v>119</v>
      </c>
      <c r="O229" s="693" t="s">
        <v>120</v>
      </c>
      <c r="P229" s="557">
        <v>70.0</v>
      </c>
      <c r="Q229" s="696" t="s">
        <v>415</v>
      </c>
      <c r="R229" s="471">
        <f t="shared" ref="R229:R269" si="18">if(ISBLANK($T229),"",$T229-$S229+1)</f>
        <v>1</v>
      </c>
      <c r="S229" s="708">
        <v>45990.0</v>
      </c>
      <c r="T229" s="701">
        <v>45990.0</v>
      </c>
      <c r="U229" s="566" t="str">
        <f t="shared" ref="U229:U269" si="19">if(W229="","", S229-V229 &amp; " days")</f>
        <v>56 days</v>
      </c>
      <c r="V229" s="587">
        <v>45934.0</v>
      </c>
      <c r="W229" s="471" t="s">
        <v>1088</v>
      </c>
      <c r="X229" s="559" t="s">
        <v>29</v>
      </c>
      <c r="Y229" s="555" t="s">
        <v>29</v>
      </c>
      <c r="Z229" s="412"/>
      <c r="AA229" s="432"/>
      <c r="AB229" s="645" t="b">
        <v>0</v>
      </c>
      <c r="AC229" s="690" t="b">
        <v>0</v>
      </c>
      <c r="AD229" s="646" t="b">
        <v>0</v>
      </c>
      <c r="AE229" s="691" t="b">
        <v>0</v>
      </c>
      <c r="AF229" s="647" t="b">
        <v>0</v>
      </c>
      <c r="AG229" s="475" t="b">
        <v>0</v>
      </c>
      <c r="AH229" s="648"/>
      <c r="AI229" s="505">
        <v>3.4965E7</v>
      </c>
      <c r="AJ229" s="107"/>
      <c r="AK229" s="436"/>
      <c r="AL229" s="436"/>
      <c r="AM229" s="436"/>
      <c r="AN229" s="436"/>
      <c r="AO229" s="438"/>
      <c r="AP229" s="438"/>
      <c r="AQ229" s="438"/>
      <c r="AR229" s="702" t="b">
        <v>0</v>
      </c>
      <c r="AS229" s="602" t="b">
        <v>0</v>
      </c>
      <c r="AT229" s="404"/>
      <c r="AU229" s="103"/>
      <c r="AV229" s="103"/>
    </row>
    <row r="230">
      <c r="A230" s="103"/>
      <c r="B230" s="554">
        <v>45950.0</v>
      </c>
      <c r="C230" s="555" t="s">
        <v>113</v>
      </c>
      <c r="D230" s="692" t="s">
        <v>652</v>
      </c>
      <c r="E230" s="579"/>
      <c r="F230" s="557" t="s">
        <v>764</v>
      </c>
      <c r="G230" s="557" t="s">
        <v>287</v>
      </c>
      <c r="H230" s="582"/>
      <c r="I230" s="693" t="s">
        <v>1089</v>
      </c>
      <c r="J230" s="693" t="s">
        <v>118</v>
      </c>
      <c r="K230" s="715" t="s">
        <v>1090</v>
      </c>
      <c r="L230" s="723" t="s">
        <v>1091</v>
      </c>
      <c r="M230" s="585"/>
      <c r="N230" s="693" t="s">
        <v>119</v>
      </c>
      <c r="O230" s="693" t="s">
        <v>166</v>
      </c>
      <c r="P230" s="557">
        <v>100.0</v>
      </c>
      <c r="Q230" s="696" t="s">
        <v>954</v>
      </c>
      <c r="R230" s="471">
        <f t="shared" si="18"/>
        <v>2</v>
      </c>
      <c r="S230" s="708">
        <v>45990.0</v>
      </c>
      <c r="T230" s="733">
        <v>45991.0</v>
      </c>
      <c r="U230" s="566" t="str">
        <f t="shared" si="19"/>
        <v>40 days</v>
      </c>
      <c r="V230" s="587">
        <v>45950.0</v>
      </c>
      <c r="W230" s="471" t="s">
        <v>1092</v>
      </c>
      <c r="X230" s="559" t="s">
        <v>29</v>
      </c>
      <c r="Y230" s="555" t="s">
        <v>29</v>
      </c>
      <c r="Z230" s="525"/>
      <c r="AA230" s="432"/>
      <c r="AB230" s="645" t="b">
        <v>1</v>
      </c>
      <c r="AC230" s="690" t="b">
        <v>0</v>
      </c>
      <c r="AD230" s="646" t="b">
        <v>0</v>
      </c>
      <c r="AE230" s="691" t="b">
        <v>0</v>
      </c>
      <c r="AF230" s="647" t="b">
        <v>0</v>
      </c>
      <c r="AG230" s="475" t="b">
        <v>0</v>
      </c>
      <c r="AH230" s="648"/>
      <c r="AI230" s="505">
        <v>2.9004855E8</v>
      </c>
      <c r="AJ230" s="107"/>
      <c r="AK230" s="436"/>
      <c r="AL230" s="436"/>
      <c r="AM230" s="436"/>
      <c r="AN230" s="436"/>
      <c r="AO230" s="438"/>
      <c r="AP230" s="438"/>
      <c r="AQ230" s="438"/>
      <c r="AR230" s="702" t="b">
        <v>0</v>
      </c>
      <c r="AS230" s="602" t="b">
        <v>0</v>
      </c>
      <c r="AT230" s="404"/>
      <c r="AU230" s="404"/>
      <c r="AV230" s="404"/>
    </row>
    <row r="231">
      <c r="A231" s="404"/>
      <c r="B231" s="413">
        <v>45762.0</v>
      </c>
      <c r="C231" s="414" t="s">
        <v>113</v>
      </c>
      <c r="D231" s="415" t="s">
        <v>114</v>
      </c>
      <c r="E231" s="387"/>
      <c r="F231" s="387" t="s">
        <v>153</v>
      </c>
      <c r="G231" s="387" t="s">
        <v>441</v>
      </c>
      <c r="H231" s="166"/>
      <c r="I231" s="595" t="s">
        <v>1093</v>
      </c>
      <c r="J231" s="436" t="s">
        <v>155</v>
      </c>
      <c r="K231" s="596" t="s">
        <v>1094</v>
      </c>
      <c r="L231" s="714"/>
      <c r="M231" s="569"/>
      <c r="N231" s="436" t="s">
        <v>119</v>
      </c>
      <c r="O231" s="436" t="s">
        <v>120</v>
      </c>
      <c r="P231" s="414">
        <v>300.0</v>
      </c>
      <c r="Q231" s="425" t="s">
        <v>1095</v>
      </c>
      <c r="R231" s="471">
        <f t="shared" si="18"/>
        <v>1</v>
      </c>
      <c r="S231" s="564">
        <v>45992.0</v>
      </c>
      <c r="T231" s="565">
        <v>45992.0</v>
      </c>
      <c r="U231" s="428" t="str">
        <f t="shared" si="19"/>
        <v>230 days</v>
      </c>
      <c r="V231" s="599">
        <v>45762.0</v>
      </c>
      <c r="W231" s="471" t="s">
        <v>1096</v>
      </c>
      <c r="X231" s="436" t="s">
        <v>29</v>
      </c>
      <c r="Y231" s="414" t="s">
        <v>29</v>
      </c>
      <c r="Z231" s="431"/>
      <c r="AA231" s="686" t="s">
        <v>558</v>
      </c>
      <c r="AB231" s="396" t="b">
        <v>1</v>
      </c>
      <c r="AC231" s="397" t="b">
        <v>0</v>
      </c>
      <c r="AD231" s="397" t="b">
        <v>0</v>
      </c>
      <c r="AE231" s="398" t="b">
        <v>1</v>
      </c>
      <c r="AF231" s="398" t="b">
        <v>0</v>
      </c>
      <c r="AG231" s="475" t="b">
        <v>0</v>
      </c>
      <c r="AH231" s="433"/>
      <c r="AI231" s="600">
        <v>2.20421025E9</v>
      </c>
      <c r="AJ231" s="435"/>
      <c r="AK231" s="436"/>
      <c r="AL231" s="436"/>
      <c r="AM231" s="436"/>
      <c r="AN231" s="436"/>
      <c r="AO231" s="438"/>
      <c r="AP231" s="438"/>
      <c r="AQ231" s="438"/>
      <c r="AR231" s="702" t="b">
        <v>0</v>
      </c>
      <c r="AS231" s="602" t="b">
        <v>0</v>
      </c>
      <c r="AT231" s="441"/>
      <c r="AU231" s="404"/>
      <c r="AV231" s="404"/>
    </row>
    <row r="232">
      <c r="A232" s="404"/>
      <c r="B232" s="413">
        <v>45979.0</v>
      </c>
      <c r="C232" s="414" t="s">
        <v>113</v>
      </c>
      <c r="D232" s="415" t="s">
        <v>136</v>
      </c>
      <c r="E232" s="594"/>
      <c r="F232" s="387" t="s">
        <v>115</v>
      </c>
      <c r="G232" s="387" t="s">
        <v>287</v>
      </c>
      <c r="H232" s="166"/>
      <c r="I232" s="402" t="s">
        <v>1097</v>
      </c>
      <c r="J232" s="402" t="s">
        <v>118</v>
      </c>
      <c r="K232" s="694" t="s">
        <v>1098</v>
      </c>
      <c r="L232" s="711" t="s">
        <v>1099</v>
      </c>
      <c r="M232" s="590"/>
      <c r="N232" s="675" t="s">
        <v>182</v>
      </c>
      <c r="O232" s="675" t="s">
        <v>182</v>
      </c>
      <c r="P232" s="387">
        <v>130.0</v>
      </c>
      <c r="Q232" s="675" t="s">
        <v>601</v>
      </c>
      <c r="R232" s="471">
        <f t="shared" si="18"/>
        <v>2</v>
      </c>
      <c r="S232" s="564">
        <v>45992.0</v>
      </c>
      <c r="T232" s="598">
        <v>45993.0</v>
      </c>
      <c r="U232" s="162" t="str">
        <f t="shared" si="19"/>
        <v>13 days</v>
      </c>
      <c r="V232" s="712">
        <v>45979.0</v>
      </c>
      <c r="W232" s="471" t="s">
        <v>1100</v>
      </c>
      <c r="X232" s="402" t="s">
        <v>29</v>
      </c>
      <c r="Y232" s="387" t="s">
        <v>29</v>
      </c>
      <c r="Z232" s="431"/>
      <c r="AA232" s="686" t="s">
        <v>133</v>
      </c>
      <c r="AB232" s="396" t="b">
        <v>1</v>
      </c>
      <c r="AC232" s="397" t="b">
        <v>0</v>
      </c>
      <c r="AD232" s="669" t="b">
        <v>0</v>
      </c>
      <c r="AE232" s="620" t="b">
        <v>0</v>
      </c>
      <c r="AF232" s="620" t="b">
        <v>0</v>
      </c>
      <c r="AG232" s="475" t="b">
        <v>0</v>
      </c>
      <c r="AH232" s="433"/>
      <c r="AI232" s="680">
        <v>2.69175E7</v>
      </c>
      <c r="AJ232" s="680"/>
      <c r="AK232" s="568"/>
      <c r="AL232" s="568"/>
      <c r="AM232" s="568"/>
      <c r="AN232" s="441"/>
      <c r="AO232" s="713"/>
      <c r="AP232" s="713"/>
      <c r="AQ232" s="713"/>
      <c r="AR232" s="161" t="b">
        <v>0</v>
      </c>
      <c r="AS232" s="465" t="b">
        <v>0</v>
      </c>
      <c r="AT232" s="404"/>
      <c r="AU232" s="404"/>
      <c r="AV232" s="404"/>
    </row>
    <row r="233">
      <c r="A233" s="103"/>
      <c r="B233" s="250">
        <v>45903.0</v>
      </c>
      <c r="C233" s="387" t="s">
        <v>113</v>
      </c>
      <c r="D233" s="388" t="s">
        <v>114</v>
      </c>
      <c r="E233" s="522"/>
      <c r="F233" s="251" t="s">
        <v>115</v>
      </c>
      <c r="G233" s="251" t="s">
        <v>170</v>
      </c>
      <c r="H233" s="166"/>
      <c r="I233" s="392" t="s">
        <v>1101</v>
      </c>
      <c r="J233" s="261" t="s">
        <v>118</v>
      </c>
      <c r="K233" s="461" t="s">
        <v>1102</v>
      </c>
      <c r="L233" s="461"/>
      <c r="M233" s="521"/>
      <c r="N233" s="261" t="s">
        <v>182</v>
      </c>
      <c r="O233" s="261" t="s">
        <v>182</v>
      </c>
      <c r="P233" s="522">
        <v>1.0</v>
      </c>
      <c r="Q233" s="392" t="s">
        <v>1103</v>
      </c>
      <c r="R233" s="471">
        <f t="shared" si="18"/>
        <v>2</v>
      </c>
      <c r="S233" s="464">
        <v>45994.0</v>
      </c>
      <c r="T233" s="465">
        <v>45995.0</v>
      </c>
      <c r="U233" s="162" t="str">
        <f t="shared" si="19"/>
        <v>91 days</v>
      </c>
      <c r="V233" s="466">
        <v>45903.0</v>
      </c>
      <c r="W233" s="471" t="s">
        <v>1104</v>
      </c>
      <c r="X233" s="261" t="s">
        <v>131</v>
      </c>
      <c r="Y233" s="251" t="s">
        <v>132</v>
      </c>
      <c r="Z233" s="394"/>
      <c r="AA233" s="395"/>
      <c r="AB233" s="396" t="b">
        <v>1</v>
      </c>
      <c r="AC233" s="669" t="b">
        <v>0</v>
      </c>
      <c r="AD233" s="397" t="b">
        <v>1</v>
      </c>
      <c r="AE233" s="398" t="b">
        <v>1</v>
      </c>
      <c r="AF233" s="620" t="b">
        <v>0</v>
      </c>
      <c r="AG233" s="475" t="b">
        <v>0</v>
      </c>
      <c r="AH233" s="399"/>
      <c r="AI233" s="401">
        <v>4.191E7</v>
      </c>
      <c r="AJ233" s="401"/>
      <c r="AK233" s="402"/>
      <c r="AL233" s="402"/>
      <c r="AM233" s="402"/>
      <c r="AN233" s="251"/>
      <c r="AO233" s="403"/>
      <c r="AP233" s="403"/>
      <c r="AQ233" s="403"/>
      <c r="AR233" s="161" t="b">
        <v>0</v>
      </c>
      <c r="AS233" s="465" t="b">
        <v>0</v>
      </c>
      <c r="AT233" s="404"/>
      <c r="AU233" s="404"/>
      <c r="AV233" s="404"/>
    </row>
    <row r="234">
      <c r="A234" s="103"/>
      <c r="B234" s="413">
        <v>45992.0</v>
      </c>
      <c r="C234" s="414" t="s">
        <v>113</v>
      </c>
      <c r="D234" s="415" t="s">
        <v>136</v>
      </c>
      <c r="E234" s="387"/>
      <c r="F234" s="387" t="s">
        <v>115</v>
      </c>
      <c r="G234" s="387" t="s">
        <v>116</v>
      </c>
      <c r="H234" s="166"/>
      <c r="I234" s="402" t="s">
        <v>1105</v>
      </c>
      <c r="J234" s="402" t="s">
        <v>118</v>
      </c>
      <c r="K234" s="694" t="s">
        <v>1106</v>
      </c>
      <c r="L234" s="711" t="s">
        <v>1107</v>
      </c>
      <c r="M234" s="590"/>
      <c r="N234" s="675" t="s">
        <v>119</v>
      </c>
      <c r="O234" s="675" t="s">
        <v>196</v>
      </c>
      <c r="P234" s="387">
        <v>45.0</v>
      </c>
      <c r="Q234" s="675" t="s">
        <v>415</v>
      </c>
      <c r="R234" s="738">
        <f t="shared" si="18"/>
        <v>1</v>
      </c>
      <c r="S234" s="564">
        <v>45994.0</v>
      </c>
      <c r="T234" s="598">
        <v>45994.0</v>
      </c>
      <c r="U234" s="162" t="str">
        <f t="shared" si="19"/>
        <v>2 days</v>
      </c>
      <c r="V234" s="712">
        <v>45992.0</v>
      </c>
      <c r="W234" s="471" t="s">
        <v>1108</v>
      </c>
      <c r="X234" s="402" t="s">
        <v>29</v>
      </c>
      <c r="Y234" s="387" t="s">
        <v>29</v>
      </c>
      <c r="Z234" s="431"/>
      <c r="AA234" s="686" t="s">
        <v>123</v>
      </c>
      <c r="AB234" s="396" t="b">
        <v>0</v>
      </c>
      <c r="AC234" s="397" t="b">
        <v>0</v>
      </c>
      <c r="AD234" s="669" t="b">
        <v>0</v>
      </c>
      <c r="AE234" s="620" t="b">
        <v>0</v>
      </c>
      <c r="AF234" s="620" t="b">
        <v>0</v>
      </c>
      <c r="AG234" s="475" t="b">
        <v>0</v>
      </c>
      <c r="AH234" s="433"/>
      <c r="AI234" s="680">
        <v>2.089575E7</v>
      </c>
      <c r="AJ234" s="680"/>
      <c r="AK234" s="568"/>
      <c r="AL234" s="568"/>
      <c r="AM234" s="568"/>
      <c r="AN234" s="441"/>
      <c r="AO234" s="713"/>
      <c r="AP234" s="713"/>
      <c r="AQ234" s="713"/>
      <c r="AR234" s="161" t="b">
        <v>0</v>
      </c>
      <c r="AS234" s="465" t="b">
        <v>0</v>
      </c>
      <c r="AT234" s="404"/>
      <c r="AU234" s="404"/>
      <c r="AV234" s="404"/>
    </row>
    <row r="235">
      <c r="A235" s="103"/>
      <c r="B235" s="477">
        <v>45933.0</v>
      </c>
      <c r="C235" s="506" t="s">
        <v>113</v>
      </c>
      <c r="D235" s="632" t="s">
        <v>136</v>
      </c>
      <c r="E235" s="106"/>
      <c r="F235" s="478" t="s">
        <v>115</v>
      </c>
      <c r="G235" s="478" t="s">
        <v>116</v>
      </c>
      <c r="H235" s="479"/>
      <c r="I235" s="495" t="s">
        <v>1109</v>
      </c>
      <c r="J235" s="402" t="s">
        <v>118</v>
      </c>
      <c r="K235" s="461" t="s">
        <v>1110</v>
      </c>
      <c r="L235" s="461"/>
      <c r="M235" s="739"/>
      <c r="N235" s="480" t="s">
        <v>155</v>
      </c>
      <c r="O235" s="480" t="s">
        <v>238</v>
      </c>
      <c r="P235" s="106"/>
      <c r="Q235" s="495" t="s">
        <v>415</v>
      </c>
      <c r="R235" s="471">
        <f t="shared" si="18"/>
        <v>1</v>
      </c>
      <c r="S235" s="464">
        <v>45996.0</v>
      </c>
      <c r="T235" s="527">
        <v>45996.0</v>
      </c>
      <c r="U235" s="485" t="str">
        <f t="shared" si="19"/>
        <v>63 days</v>
      </c>
      <c r="V235" s="486">
        <v>45933.0</v>
      </c>
      <c r="W235" s="471" t="s">
        <v>1111</v>
      </c>
      <c r="X235" s="559" t="s">
        <v>29</v>
      </c>
      <c r="Y235" s="555" t="s">
        <v>29</v>
      </c>
      <c r="Z235" s="643"/>
      <c r="AA235" s="734" t="s">
        <v>123</v>
      </c>
      <c r="AB235" s="645" t="b">
        <v>0</v>
      </c>
      <c r="AC235" s="690" t="b">
        <v>0</v>
      </c>
      <c r="AD235" s="690" t="b">
        <v>0</v>
      </c>
      <c r="AE235" s="691" t="b">
        <v>0</v>
      </c>
      <c r="AF235" s="691" t="b">
        <v>0</v>
      </c>
      <c r="AG235" s="475" t="b">
        <v>0</v>
      </c>
      <c r="AH235" s="648"/>
      <c r="AI235" s="505">
        <v>2.775E7</v>
      </c>
      <c r="AJ235" s="505"/>
      <c r="AK235" s="698"/>
      <c r="AL235" s="698"/>
      <c r="AM235" s="512"/>
      <c r="AN235" s="579"/>
      <c r="AO235" s="438"/>
      <c r="AP235" s="438"/>
      <c r="AQ235" s="438"/>
      <c r="AR235" s="702" t="b">
        <v>0</v>
      </c>
      <c r="AS235" s="602" t="b">
        <v>0</v>
      </c>
      <c r="AT235" s="103"/>
      <c r="AU235" s="103"/>
      <c r="AV235" s="103"/>
    </row>
    <row r="236">
      <c r="A236" s="103"/>
      <c r="B236" s="413">
        <v>45953.0</v>
      </c>
      <c r="C236" s="414" t="s">
        <v>113</v>
      </c>
      <c r="D236" s="415" t="s">
        <v>250</v>
      </c>
      <c r="E236" s="594"/>
      <c r="F236" s="387" t="s">
        <v>115</v>
      </c>
      <c r="G236" s="387" t="s">
        <v>287</v>
      </c>
      <c r="H236" s="166"/>
      <c r="I236" s="402" t="s">
        <v>1112</v>
      </c>
      <c r="J236" s="402" t="s">
        <v>118</v>
      </c>
      <c r="K236" s="694" t="s">
        <v>1113</v>
      </c>
      <c r="L236" s="711" t="s">
        <v>1114</v>
      </c>
      <c r="M236" s="590"/>
      <c r="N236" s="675" t="s">
        <v>127</v>
      </c>
      <c r="O236" s="675" t="s">
        <v>182</v>
      </c>
      <c r="P236" s="387">
        <v>1.0</v>
      </c>
      <c r="Q236" s="675" t="s">
        <v>1115</v>
      </c>
      <c r="R236" s="471">
        <f t="shared" si="18"/>
        <v>1</v>
      </c>
      <c r="S236" s="564">
        <v>45996.0</v>
      </c>
      <c r="T236" s="598">
        <v>45996.0</v>
      </c>
      <c r="U236" s="162" t="str">
        <f t="shared" si="19"/>
        <v>43 days</v>
      </c>
      <c r="V236" s="712">
        <v>45953.0</v>
      </c>
      <c r="W236" s="471" t="s">
        <v>1116</v>
      </c>
      <c r="X236" s="402" t="s">
        <v>29</v>
      </c>
      <c r="Y236" s="387" t="s">
        <v>29</v>
      </c>
      <c r="Z236" s="431"/>
      <c r="AA236" s="686" t="s">
        <v>133</v>
      </c>
      <c r="AB236" s="396" t="b">
        <v>1</v>
      </c>
      <c r="AC236" s="669" t="b">
        <v>0</v>
      </c>
      <c r="AD236" s="669" t="b">
        <v>0</v>
      </c>
      <c r="AE236" s="620" t="b">
        <v>0</v>
      </c>
      <c r="AF236" s="620" t="b">
        <v>0</v>
      </c>
      <c r="AG236" s="475" t="b">
        <v>0</v>
      </c>
      <c r="AH236" s="433"/>
      <c r="AI236" s="680">
        <v>2.6862E7</v>
      </c>
      <c r="AJ236" s="680"/>
      <c r="AK236" s="568"/>
      <c r="AL236" s="568"/>
      <c r="AM236" s="568"/>
      <c r="AN236" s="441"/>
      <c r="AO236" s="713"/>
      <c r="AP236" s="713"/>
      <c r="AQ236" s="713"/>
      <c r="AR236" s="161" t="b">
        <v>0</v>
      </c>
      <c r="AS236" s="465" t="b">
        <v>0</v>
      </c>
      <c r="AT236" s="404"/>
      <c r="AU236" s="103"/>
      <c r="AV236" s="103"/>
    </row>
    <row r="237">
      <c r="A237" s="103"/>
      <c r="B237" s="413">
        <v>45959.0</v>
      </c>
      <c r="C237" s="414" t="s">
        <v>113</v>
      </c>
      <c r="D237" s="415" t="s">
        <v>136</v>
      </c>
      <c r="E237" s="594"/>
      <c r="F237" s="387" t="s">
        <v>115</v>
      </c>
      <c r="G237" s="387" t="s">
        <v>116</v>
      </c>
      <c r="H237" s="166"/>
      <c r="I237" s="402" t="s">
        <v>1117</v>
      </c>
      <c r="J237" s="402" t="s">
        <v>118</v>
      </c>
      <c r="K237" s="694" t="s">
        <v>1118</v>
      </c>
      <c r="L237" s="694"/>
      <c r="M237" s="442"/>
      <c r="N237" s="675" t="s">
        <v>119</v>
      </c>
      <c r="O237" s="675" t="s">
        <v>120</v>
      </c>
      <c r="P237" s="387">
        <v>15.0</v>
      </c>
      <c r="Q237" s="675" t="s">
        <v>415</v>
      </c>
      <c r="R237" s="471">
        <f t="shared" si="18"/>
        <v>1</v>
      </c>
      <c r="S237" s="564">
        <v>45996.0</v>
      </c>
      <c r="T237" s="598">
        <v>45996.0</v>
      </c>
      <c r="U237" s="162" t="str">
        <f t="shared" si="19"/>
        <v>37 days</v>
      </c>
      <c r="V237" s="712">
        <v>45959.0</v>
      </c>
      <c r="W237" s="471" t="s">
        <v>1119</v>
      </c>
      <c r="X237" s="402" t="s">
        <v>131</v>
      </c>
      <c r="Y237" s="387" t="s">
        <v>132</v>
      </c>
      <c r="Z237" s="431"/>
      <c r="AA237" s="686" t="s">
        <v>133</v>
      </c>
      <c r="AB237" s="396" t="b">
        <v>1</v>
      </c>
      <c r="AC237" s="669" t="b">
        <v>0</v>
      </c>
      <c r="AD237" s="397" t="b">
        <v>1</v>
      </c>
      <c r="AE237" s="398" t="b">
        <v>1</v>
      </c>
      <c r="AF237" s="620" t="b">
        <v>0</v>
      </c>
      <c r="AG237" s="475" t="b">
        <v>0</v>
      </c>
      <c r="AH237" s="433"/>
      <c r="AI237" s="680">
        <v>1.1766E7</v>
      </c>
      <c r="AJ237" s="680"/>
      <c r="AK237" s="436" t="s">
        <v>134</v>
      </c>
      <c r="AL237" s="436" t="s">
        <v>134</v>
      </c>
      <c r="AM237" s="436" t="s">
        <v>134</v>
      </c>
      <c r="AN237" s="402" t="s">
        <v>620</v>
      </c>
      <c r="AO237" s="713"/>
      <c r="AP237" s="713"/>
      <c r="AQ237" s="713"/>
      <c r="AR237" s="161" t="b">
        <v>0</v>
      </c>
      <c r="AS237" s="465" t="b">
        <v>0</v>
      </c>
      <c r="AT237" s="404"/>
      <c r="AU237" s="103"/>
      <c r="AV237" s="103"/>
    </row>
    <row r="238">
      <c r="A238" s="103"/>
      <c r="B238" s="477">
        <v>45855.0</v>
      </c>
      <c r="C238" s="506" t="s">
        <v>113</v>
      </c>
      <c r="D238" s="632" t="s">
        <v>136</v>
      </c>
      <c r="E238" s="106" t="s">
        <v>1077</v>
      </c>
      <c r="F238" s="478" t="s">
        <v>1028</v>
      </c>
      <c r="G238" s="478" t="s">
        <v>1028</v>
      </c>
      <c r="H238" s="740"/>
      <c r="I238" s="495" t="s">
        <v>1120</v>
      </c>
      <c r="J238" s="480" t="s">
        <v>118</v>
      </c>
      <c r="K238" s="469" t="s">
        <v>1121</v>
      </c>
      <c r="L238" s="406" t="s">
        <v>1122</v>
      </c>
      <c r="M238" s="126"/>
      <c r="N238" s="480" t="s">
        <v>261</v>
      </c>
      <c r="O238" s="480" t="s">
        <v>238</v>
      </c>
      <c r="P238" s="106">
        <v>39.0</v>
      </c>
      <c r="Q238" s="106" t="s">
        <v>451</v>
      </c>
      <c r="R238" s="471">
        <f t="shared" si="18"/>
        <v>1</v>
      </c>
      <c r="S238" s="464">
        <v>45999.0</v>
      </c>
      <c r="T238" s="527">
        <v>45999.0</v>
      </c>
      <c r="U238" s="485" t="str">
        <f t="shared" si="19"/>
        <v>144 days</v>
      </c>
      <c r="V238" s="486">
        <v>45855.0</v>
      </c>
      <c r="W238" s="471" t="s">
        <v>1123</v>
      </c>
      <c r="X238" s="480" t="s">
        <v>29</v>
      </c>
      <c r="Y238" s="478" t="s">
        <v>29</v>
      </c>
      <c r="Z238" s="643"/>
      <c r="AA238" s="734"/>
      <c r="AB238" s="645" t="b">
        <v>0</v>
      </c>
      <c r="AC238" s="690" t="b">
        <v>0</v>
      </c>
      <c r="AD238" s="690" t="b">
        <v>0</v>
      </c>
      <c r="AE238" s="691" t="b">
        <v>0</v>
      </c>
      <c r="AF238" s="691" t="b">
        <v>0</v>
      </c>
      <c r="AG238" s="475" t="b">
        <v>0</v>
      </c>
      <c r="AH238" s="648"/>
      <c r="AI238" s="505">
        <v>2.925E7</v>
      </c>
      <c r="AJ238" s="505"/>
      <c r="AK238" s="436"/>
      <c r="AL238" s="436"/>
      <c r="AM238" s="436"/>
      <c r="AN238" s="436"/>
      <c r="AO238" s="438"/>
      <c r="AP238" s="438"/>
      <c r="AQ238" s="438"/>
      <c r="AR238" s="702" t="b">
        <v>0</v>
      </c>
      <c r="AS238" s="602" t="b">
        <v>0</v>
      </c>
      <c r="AT238" s="103"/>
      <c r="AU238" s="404"/>
      <c r="AV238" s="404"/>
    </row>
    <row r="239">
      <c r="A239" s="103"/>
      <c r="B239" s="477">
        <v>45957.0</v>
      </c>
      <c r="C239" s="506" t="s">
        <v>113</v>
      </c>
      <c r="D239" s="632" t="s">
        <v>136</v>
      </c>
      <c r="E239" s="106" t="s">
        <v>1077</v>
      </c>
      <c r="F239" s="478" t="s">
        <v>1028</v>
      </c>
      <c r="G239" s="478" t="s">
        <v>192</v>
      </c>
      <c r="H239" s="479"/>
      <c r="I239" s="495" t="s">
        <v>1124</v>
      </c>
      <c r="J239" s="480" t="s">
        <v>118</v>
      </c>
      <c r="K239" s="461" t="s">
        <v>1125</v>
      </c>
      <c r="L239" s="462" t="s">
        <v>1126</v>
      </c>
      <c r="M239" s="739"/>
      <c r="N239" s="480" t="s">
        <v>345</v>
      </c>
      <c r="O239" s="480" t="s">
        <v>238</v>
      </c>
      <c r="P239" s="106">
        <v>19.0</v>
      </c>
      <c r="Q239" s="495" t="s">
        <v>1127</v>
      </c>
      <c r="R239" s="471">
        <f t="shared" si="18"/>
        <v>3</v>
      </c>
      <c r="S239" s="464">
        <v>45999.0</v>
      </c>
      <c r="T239" s="484">
        <v>46001.0</v>
      </c>
      <c r="U239" s="485" t="str">
        <f t="shared" si="19"/>
        <v>42 days</v>
      </c>
      <c r="V239" s="486">
        <v>45957.0</v>
      </c>
      <c r="W239" s="471" t="s">
        <v>1128</v>
      </c>
      <c r="X239" s="480" t="s">
        <v>131</v>
      </c>
      <c r="Y239" s="478" t="s">
        <v>132</v>
      </c>
      <c r="Z239" s="643"/>
      <c r="AA239" s="644"/>
      <c r="AB239" s="645" t="b">
        <v>1</v>
      </c>
      <c r="AC239" s="690" t="b">
        <v>1</v>
      </c>
      <c r="AD239" s="690" t="b">
        <v>1</v>
      </c>
      <c r="AE239" s="691" t="b">
        <v>1</v>
      </c>
      <c r="AF239" s="691" t="b">
        <v>0</v>
      </c>
      <c r="AG239" s="475" t="b">
        <v>0</v>
      </c>
      <c r="AH239" s="648"/>
      <c r="AI239" s="505">
        <v>4.83395665E8</v>
      </c>
      <c r="AJ239" s="505"/>
      <c r="AK239" s="559" t="s">
        <v>1129</v>
      </c>
      <c r="AL239" s="559" t="s">
        <v>30</v>
      </c>
      <c r="AM239" s="512" t="s">
        <v>1064</v>
      </c>
      <c r="AN239" s="693" t="s">
        <v>620</v>
      </c>
      <c r="AO239" s="438"/>
      <c r="AP239" s="438"/>
      <c r="AQ239" s="438"/>
      <c r="AR239" s="702" t="b">
        <v>0</v>
      </c>
      <c r="AS239" s="602" t="b">
        <v>0</v>
      </c>
      <c r="AT239" s="103"/>
      <c r="AU239" s="103"/>
      <c r="AV239" s="103"/>
    </row>
    <row r="240">
      <c r="A240" s="404"/>
      <c r="B240" s="413">
        <v>45997.0</v>
      </c>
      <c r="C240" s="251" t="s">
        <v>113</v>
      </c>
      <c r="D240" s="252" t="s">
        <v>250</v>
      </c>
      <c r="E240" s="251"/>
      <c r="F240" s="251" t="s">
        <v>115</v>
      </c>
      <c r="G240" s="251" t="s">
        <v>116</v>
      </c>
      <c r="H240" s="166"/>
      <c r="I240" s="261" t="s">
        <v>1130</v>
      </c>
      <c r="J240" s="261" t="s">
        <v>146</v>
      </c>
      <c r="K240" s="714" t="s">
        <v>1131</v>
      </c>
      <c r="L240" s="597" t="s">
        <v>1132</v>
      </c>
      <c r="M240" s="463"/>
      <c r="N240" s="261" t="s">
        <v>182</v>
      </c>
      <c r="O240" s="261" t="s">
        <v>182</v>
      </c>
      <c r="P240" s="251"/>
      <c r="Q240" s="261" t="s">
        <v>1133</v>
      </c>
      <c r="R240" s="471">
        <f t="shared" si="18"/>
        <v>1</v>
      </c>
      <c r="S240" s="464">
        <v>46000.0</v>
      </c>
      <c r="T240" s="465">
        <v>46000.0</v>
      </c>
      <c r="U240" s="162" t="str">
        <f t="shared" si="19"/>
        <v>3 days</v>
      </c>
      <c r="V240" s="466">
        <v>45997.0</v>
      </c>
      <c r="W240" s="471" t="s">
        <v>1134</v>
      </c>
      <c r="X240" s="261" t="s">
        <v>131</v>
      </c>
      <c r="Y240" s="251" t="s">
        <v>132</v>
      </c>
      <c r="Z240" s="172"/>
      <c r="AA240" s="264"/>
      <c r="AB240" s="162" t="b">
        <v>0</v>
      </c>
      <c r="AC240" s="175" t="b">
        <v>0</v>
      </c>
      <c r="AD240" s="175" t="b">
        <v>0</v>
      </c>
      <c r="AE240" s="180" t="b">
        <v>1</v>
      </c>
      <c r="AF240" s="180" t="b">
        <v>0</v>
      </c>
      <c r="AG240" s="475" t="b">
        <v>0</v>
      </c>
      <c r="AH240" s="166"/>
      <c r="AI240" s="266">
        <v>1.67055E7</v>
      </c>
      <c r="AJ240" s="266"/>
      <c r="AK240" s="251" t="s">
        <v>134</v>
      </c>
      <c r="AL240" s="251" t="s">
        <v>134</v>
      </c>
      <c r="AM240" s="251" t="s">
        <v>134</v>
      </c>
      <c r="AN240" s="251" t="s">
        <v>620</v>
      </c>
      <c r="AO240" s="269"/>
      <c r="AP240" s="269"/>
      <c r="AQ240" s="269"/>
      <c r="AR240" s="161" t="b">
        <v>0</v>
      </c>
      <c r="AS240" s="465" t="b">
        <v>0</v>
      </c>
      <c r="AT240" s="270"/>
      <c r="AU240" s="404"/>
      <c r="AV240" s="404"/>
    </row>
    <row r="241">
      <c r="A241" s="404"/>
      <c r="B241" s="413">
        <v>45982.0</v>
      </c>
      <c r="C241" s="414" t="s">
        <v>113</v>
      </c>
      <c r="D241" s="415" t="s">
        <v>143</v>
      </c>
      <c r="E241" s="387" t="s">
        <v>1135</v>
      </c>
      <c r="F241" s="387" t="s">
        <v>1136</v>
      </c>
      <c r="G241" s="387" t="s">
        <v>441</v>
      </c>
      <c r="H241" s="166"/>
      <c r="I241" s="402" t="s">
        <v>1137</v>
      </c>
      <c r="J241" s="402" t="s">
        <v>146</v>
      </c>
      <c r="K241" s="694"/>
      <c r="L241" s="694"/>
      <c r="M241" s="590"/>
      <c r="N241" s="675" t="s">
        <v>543</v>
      </c>
      <c r="O241" s="675" t="s">
        <v>166</v>
      </c>
      <c r="P241" s="387">
        <v>70.0</v>
      </c>
      <c r="Q241" s="675" t="s">
        <v>1138</v>
      </c>
      <c r="R241" s="738">
        <f t="shared" si="18"/>
        <v>3</v>
      </c>
      <c r="S241" s="564">
        <v>46002.0</v>
      </c>
      <c r="T241" s="598">
        <v>46004.0</v>
      </c>
      <c r="U241" s="162" t="str">
        <f t="shared" si="19"/>
        <v>20 days</v>
      </c>
      <c r="V241" s="712">
        <v>45982.0</v>
      </c>
      <c r="W241" s="471" t="s">
        <v>1139</v>
      </c>
      <c r="X241" s="402" t="s">
        <v>131</v>
      </c>
      <c r="Y241" s="387" t="s">
        <v>132</v>
      </c>
      <c r="Z241" s="431"/>
      <c r="AA241" s="686"/>
      <c r="AB241" s="396" t="b">
        <v>0</v>
      </c>
      <c r="AC241" s="397" t="b">
        <v>0</v>
      </c>
      <c r="AD241" s="669" t="b">
        <v>0</v>
      </c>
      <c r="AE241" s="620" t="b">
        <v>0</v>
      </c>
      <c r="AF241" s="620" t="b">
        <v>0</v>
      </c>
      <c r="AG241" s="475" t="b">
        <v>0</v>
      </c>
      <c r="AH241" s="433"/>
      <c r="AI241" s="680">
        <v>2.26594E8</v>
      </c>
      <c r="AJ241" s="680"/>
      <c r="AK241" s="436" t="s">
        <v>1140</v>
      </c>
      <c r="AL241" s="436" t="s">
        <v>30</v>
      </c>
      <c r="AM241" s="251" t="s">
        <v>1064</v>
      </c>
      <c r="AN241" s="402" t="s">
        <v>620</v>
      </c>
      <c r="AO241" s="713"/>
      <c r="AP241" s="713"/>
      <c r="AQ241" s="713"/>
      <c r="AR241" s="161" t="b">
        <v>0</v>
      </c>
      <c r="AS241" s="465" t="b">
        <v>0</v>
      </c>
      <c r="AT241" s="404"/>
      <c r="AU241" s="404"/>
      <c r="AV241" s="404"/>
    </row>
    <row r="242">
      <c r="A242" s="103"/>
      <c r="B242" s="477">
        <v>45951.0</v>
      </c>
      <c r="C242" s="506" t="s">
        <v>113</v>
      </c>
      <c r="D242" s="632" t="s">
        <v>136</v>
      </c>
      <c r="E242" s="106" t="s">
        <v>1141</v>
      </c>
      <c r="F242" s="478" t="s">
        <v>115</v>
      </c>
      <c r="G242" s="478" t="s">
        <v>116</v>
      </c>
      <c r="H242" s="479"/>
      <c r="I242" s="495" t="s">
        <v>1142</v>
      </c>
      <c r="J242" s="402" t="s">
        <v>118</v>
      </c>
      <c r="K242" s="469" t="s">
        <v>1143</v>
      </c>
      <c r="L242" s="469"/>
      <c r="M242" s="507"/>
      <c r="N242" s="480" t="s">
        <v>119</v>
      </c>
      <c r="O242" s="480" t="s">
        <v>120</v>
      </c>
      <c r="P242" s="106">
        <v>100.0</v>
      </c>
      <c r="Q242" s="495" t="s">
        <v>415</v>
      </c>
      <c r="R242" s="471">
        <f t="shared" si="18"/>
        <v>1</v>
      </c>
      <c r="S242" s="464">
        <v>46003.0</v>
      </c>
      <c r="T242" s="484">
        <v>46003.0</v>
      </c>
      <c r="U242" s="485" t="str">
        <f t="shared" si="19"/>
        <v>52 days</v>
      </c>
      <c r="V242" s="486">
        <v>45951.0</v>
      </c>
      <c r="W242" s="471" t="s">
        <v>1144</v>
      </c>
      <c r="X242" s="480" t="s">
        <v>29</v>
      </c>
      <c r="Y242" s="478" t="s">
        <v>29</v>
      </c>
      <c r="Z242" s="643"/>
      <c r="AA242" s="644"/>
      <c r="AB242" s="645" t="b">
        <v>0</v>
      </c>
      <c r="AC242" s="690" t="b">
        <v>0</v>
      </c>
      <c r="AD242" s="690" t="b">
        <v>0</v>
      </c>
      <c r="AE242" s="691" t="b">
        <v>0</v>
      </c>
      <c r="AF242" s="691" t="b">
        <v>0</v>
      </c>
      <c r="AG242" s="475" t="b">
        <v>0</v>
      </c>
      <c r="AH242" s="648"/>
      <c r="AI242" s="505">
        <v>4.1625E7</v>
      </c>
      <c r="AJ242" s="505"/>
      <c r="AK242" s="698"/>
      <c r="AL242" s="698"/>
      <c r="AM242" s="512"/>
      <c r="AN242" s="579"/>
      <c r="AO242" s="438"/>
      <c r="AP242" s="438"/>
      <c r="AQ242" s="438"/>
      <c r="AR242" s="702" t="b">
        <v>0</v>
      </c>
      <c r="AS242" s="602" t="b">
        <v>0</v>
      </c>
      <c r="AT242" s="103"/>
      <c r="AU242" s="404"/>
      <c r="AV242" s="404"/>
    </row>
    <row r="243">
      <c r="A243" s="103"/>
      <c r="B243" s="413">
        <v>45967.0</v>
      </c>
      <c r="C243" s="414" t="s">
        <v>113</v>
      </c>
      <c r="D243" s="415" t="s">
        <v>136</v>
      </c>
      <c r="E243" s="594"/>
      <c r="F243" s="387" t="s">
        <v>115</v>
      </c>
      <c r="G243" s="387" t="s">
        <v>116</v>
      </c>
      <c r="H243" s="166"/>
      <c r="I243" s="402" t="s">
        <v>1145</v>
      </c>
      <c r="J243" s="402" t="s">
        <v>118</v>
      </c>
      <c r="K243" s="694" t="s">
        <v>1146</v>
      </c>
      <c r="L243" s="694"/>
      <c r="M243" s="590"/>
      <c r="N243" s="675" t="s">
        <v>119</v>
      </c>
      <c r="O243" s="675" t="s">
        <v>196</v>
      </c>
      <c r="P243" s="387">
        <v>250.0</v>
      </c>
      <c r="Q243" s="675" t="s">
        <v>495</v>
      </c>
      <c r="R243" s="471">
        <f t="shared" si="18"/>
        <v>1</v>
      </c>
      <c r="S243" s="564">
        <v>46003.0</v>
      </c>
      <c r="T243" s="712">
        <v>46003.0</v>
      </c>
      <c r="U243" s="162" t="str">
        <f t="shared" si="19"/>
        <v>36 days</v>
      </c>
      <c r="V243" s="712">
        <v>45967.0</v>
      </c>
      <c r="W243" s="471" t="s">
        <v>1147</v>
      </c>
      <c r="X243" s="402" t="s">
        <v>29</v>
      </c>
      <c r="Y243" s="387" t="s">
        <v>29</v>
      </c>
      <c r="Z243" s="431"/>
      <c r="AA243" s="686" t="s">
        <v>133</v>
      </c>
      <c r="AB243" s="668" t="b">
        <v>0</v>
      </c>
      <c r="AC243" s="669" t="b">
        <v>0</v>
      </c>
      <c r="AD243" s="669" t="b">
        <v>0</v>
      </c>
      <c r="AE243" s="620" t="b">
        <v>0</v>
      </c>
      <c r="AF243" s="620" t="b">
        <v>0</v>
      </c>
      <c r="AG243" s="475" t="b">
        <v>0</v>
      </c>
      <c r="AH243" s="433"/>
      <c r="AI243" s="680" t="s">
        <v>1148</v>
      </c>
      <c r="AJ243" s="680"/>
      <c r="AK243" s="568"/>
      <c r="AL243" s="568"/>
      <c r="AM243" s="568"/>
      <c r="AN243" s="441"/>
      <c r="AO243" s="713"/>
      <c r="AP243" s="713"/>
      <c r="AQ243" s="713"/>
      <c r="AR243" s="161" t="b">
        <v>0</v>
      </c>
      <c r="AS243" s="465" t="b">
        <v>0</v>
      </c>
      <c r="AT243" s="404"/>
      <c r="AU243" s="404"/>
      <c r="AV243" s="404"/>
    </row>
    <row r="244">
      <c r="A244" s="103"/>
      <c r="B244" s="413">
        <v>45972.0</v>
      </c>
      <c r="C244" s="414" t="s">
        <v>113</v>
      </c>
      <c r="D244" s="414" t="s">
        <v>136</v>
      </c>
      <c r="E244" s="594"/>
      <c r="F244" s="387" t="s">
        <v>115</v>
      </c>
      <c r="G244" s="387" t="s">
        <v>116</v>
      </c>
      <c r="H244" s="166"/>
      <c r="I244" s="402" t="s">
        <v>1149</v>
      </c>
      <c r="J244" s="402" t="s">
        <v>146</v>
      </c>
      <c r="K244" s="694" t="s">
        <v>1150</v>
      </c>
      <c r="L244" s="711" t="s">
        <v>1151</v>
      </c>
      <c r="M244" s="741"/>
      <c r="N244" s="675" t="s">
        <v>543</v>
      </c>
      <c r="O244" s="675" t="s">
        <v>166</v>
      </c>
      <c r="P244" s="387">
        <v>128.0</v>
      </c>
      <c r="Q244" s="675" t="s">
        <v>1152</v>
      </c>
      <c r="R244" s="471">
        <f t="shared" si="18"/>
        <v>3</v>
      </c>
      <c r="S244" s="564">
        <v>46003.0</v>
      </c>
      <c r="T244" s="712">
        <v>46005.0</v>
      </c>
      <c r="U244" s="162" t="str">
        <f t="shared" si="19"/>
        <v>31 days</v>
      </c>
      <c r="V244" s="712">
        <v>45972.0</v>
      </c>
      <c r="W244" s="471" t="s">
        <v>1153</v>
      </c>
      <c r="X244" s="402" t="s">
        <v>29</v>
      </c>
      <c r="Y244" s="387" t="s">
        <v>29</v>
      </c>
      <c r="Z244" s="568"/>
      <c r="AA244" s="436"/>
      <c r="AB244" s="668" t="b">
        <v>0</v>
      </c>
      <c r="AC244" s="669" t="b">
        <v>0</v>
      </c>
      <c r="AD244" s="669" t="b">
        <v>0</v>
      </c>
      <c r="AE244" s="620" t="b">
        <v>0</v>
      </c>
      <c r="AF244" s="620" t="b">
        <v>0</v>
      </c>
      <c r="AG244" s="475" t="b">
        <v>0</v>
      </c>
      <c r="AH244" s="433"/>
      <c r="AI244" s="680">
        <v>5.95657E8</v>
      </c>
      <c r="AJ244" s="680"/>
      <c r="AK244" s="568"/>
      <c r="AL244" s="568"/>
      <c r="AM244" s="568"/>
      <c r="AN244" s="441"/>
      <c r="AO244" s="713"/>
      <c r="AP244" s="713"/>
      <c r="AQ244" s="713"/>
      <c r="AR244" s="161" t="b">
        <v>0</v>
      </c>
      <c r="AS244" s="468" t="b">
        <v>0</v>
      </c>
      <c r="AT244" s="404"/>
      <c r="AU244" s="103"/>
      <c r="AV244" s="103"/>
    </row>
    <row r="245">
      <c r="A245" s="103"/>
      <c r="B245" s="413">
        <v>45985.0</v>
      </c>
      <c r="C245" s="414" t="s">
        <v>113</v>
      </c>
      <c r="D245" s="415" t="s">
        <v>136</v>
      </c>
      <c r="E245" s="387"/>
      <c r="F245" s="387" t="s">
        <v>115</v>
      </c>
      <c r="G245" s="387" t="s">
        <v>116</v>
      </c>
      <c r="H245" s="166"/>
      <c r="I245" s="402" t="s">
        <v>1154</v>
      </c>
      <c r="J245" s="402" t="s">
        <v>146</v>
      </c>
      <c r="K245" s="694" t="s">
        <v>1155</v>
      </c>
      <c r="L245" s="711" t="s">
        <v>1156</v>
      </c>
      <c r="M245" s="442"/>
      <c r="N245" s="675" t="s">
        <v>119</v>
      </c>
      <c r="O245" s="675" t="s">
        <v>138</v>
      </c>
      <c r="P245" s="387">
        <v>41.0</v>
      </c>
      <c r="Q245" s="675" t="s">
        <v>415</v>
      </c>
      <c r="R245" s="738">
        <f t="shared" si="18"/>
        <v>1</v>
      </c>
      <c r="S245" s="564">
        <v>46003.0</v>
      </c>
      <c r="T245" s="712">
        <v>46003.0</v>
      </c>
      <c r="U245" s="162" t="str">
        <f t="shared" si="19"/>
        <v>18 days</v>
      </c>
      <c r="V245" s="712">
        <v>45985.0</v>
      </c>
      <c r="W245" s="471" t="s">
        <v>1157</v>
      </c>
      <c r="X245" s="402" t="s">
        <v>29</v>
      </c>
      <c r="Y245" s="387" t="s">
        <v>29</v>
      </c>
      <c r="Z245" s="431"/>
      <c r="AA245" s="686"/>
      <c r="AB245" s="396" t="b">
        <v>0</v>
      </c>
      <c r="AC245" s="397" t="b">
        <v>0</v>
      </c>
      <c r="AD245" s="669" t="b">
        <v>0</v>
      </c>
      <c r="AE245" s="620" t="b">
        <v>0</v>
      </c>
      <c r="AF245" s="620" t="b">
        <v>0</v>
      </c>
      <c r="AG245" s="475" t="b">
        <v>0</v>
      </c>
      <c r="AH245" s="433"/>
      <c r="AI245" s="680">
        <v>1.918635E7</v>
      </c>
      <c r="AJ245" s="680"/>
      <c r="AK245" s="568"/>
      <c r="AL245" s="568"/>
      <c r="AM245" s="568"/>
      <c r="AN245" s="441"/>
      <c r="AO245" s="713"/>
      <c r="AP245" s="713"/>
      <c r="AQ245" s="713"/>
      <c r="AR245" s="161" t="b">
        <v>0</v>
      </c>
      <c r="AS245" s="465" t="b">
        <v>0</v>
      </c>
      <c r="AT245" s="404"/>
      <c r="AU245" s="103"/>
      <c r="AV245" s="103"/>
    </row>
    <row r="246">
      <c r="A246" s="404"/>
      <c r="B246" s="413">
        <v>45992.0</v>
      </c>
      <c r="C246" s="251" t="s">
        <v>113</v>
      </c>
      <c r="D246" s="252" t="s">
        <v>250</v>
      </c>
      <c r="E246" s="270"/>
      <c r="F246" s="251" t="s">
        <v>170</v>
      </c>
      <c r="G246" s="251" t="s">
        <v>170</v>
      </c>
      <c r="H246" s="166"/>
      <c r="I246" s="261" t="s">
        <v>1158</v>
      </c>
      <c r="J246" s="261" t="s">
        <v>118</v>
      </c>
      <c r="K246" s="461" t="s">
        <v>788</v>
      </c>
      <c r="L246" s="462" t="s">
        <v>789</v>
      </c>
      <c r="M246" s="463"/>
      <c r="N246" s="261" t="s">
        <v>182</v>
      </c>
      <c r="O246" s="261" t="s">
        <v>182</v>
      </c>
      <c r="P246" s="251">
        <v>210.0</v>
      </c>
      <c r="Q246" s="261" t="s">
        <v>616</v>
      </c>
      <c r="R246" s="471">
        <f t="shared" si="18"/>
        <v>-29</v>
      </c>
      <c r="S246" s="464">
        <v>46003.0</v>
      </c>
      <c r="T246" s="468">
        <v>45973.0</v>
      </c>
      <c r="U246" s="162" t="str">
        <f t="shared" si="19"/>
        <v>11 days</v>
      </c>
      <c r="V246" s="466">
        <v>45992.0</v>
      </c>
      <c r="W246" s="471" t="s">
        <v>1159</v>
      </c>
      <c r="X246" s="261" t="s">
        <v>29</v>
      </c>
      <c r="Y246" s="251" t="s">
        <v>29</v>
      </c>
      <c r="Z246" s="172"/>
      <c r="AA246" s="264"/>
      <c r="AB246" s="162" t="b">
        <v>0</v>
      </c>
      <c r="AC246" s="175" t="b">
        <v>0</v>
      </c>
      <c r="AD246" s="175" t="b">
        <v>0</v>
      </c>
      <c r="AE246" s="180" t="b">
        <v>0</v>
      </c>
      <c r="AF246" s="180" t="b">
        <v>0</v>
      </c>
      <c r="AG246" s="475" t="b">
        <v>0</v>
      </c>
      <c r="AH246" s="166"/>
      <c r="AI246" s="266">
        <v>9.6E7</v>
      </c>
      <c r="AJ246" s="266"/>
      <c r="AK246" s="270"/>
      <c r="AL246" s="270"/>
      <c r="AM246" s="270"/>
      <c r="AN246" s="270"/>
      <c r="AO246" s="269"/>
      <c r="AP246" s="269"/>
      <c r="AQ246" s="269"/>
      <c r="AR246" s="161" t="b">
        <v>0</v>
      </c>
      <c r="AS246" s="465" t="b">
        <v>0</v>
      </c>
      <c r="AT246" s="270"/>
      <c r="AU246" s="404"/>
      <c r="AV246" s="404"/>
    </row>
    <row r="247">
      <c r="A247" s="404"/>
      <c r="B247" s="413">
        <v>45993.0</v>
      </c>
      <c r="C247" s="251" t="s">
        <v>190</v>
      </c>
      <c r="D247" s="252" t="s">
        <v>136</v>
      </c>
      <c r="E247" s="251" t="s">
        <v>1160</v>
      </c>
      <c r="F247" s="251" t="s">
        <v>115</v>
      </c>
      <c r="G247" s="251" t="s">
        <v>192</v>
      </c>
      <c r="H247" s="166"/>
      <c r="I247" s="261" t="s">
        <v>1161</v>
      </c>
      <c r="J247" s="261" t="s">
        <v>146</v>
      </c>
      <c r="K247" s="461"/>
      <c r="L247" s="461"/>
      <c r="M247" s="463"/>
      <c r="N247" s="261" t="s">
        <v>155</v>
      </c>
      <c r="O247" s="261" t="s">
        <v>196</v>
      </c>
      <c r="P247" s="251">
        <v>170.0</v>
      </c>
      <c r="Q247" s="261" t="s">
        <v>947</v>
      </c>
      <c r="R247" s="471">
        <f t="shared" si="18"/>
        <v>1</v>
      </c>
      <c r="S247" s="464">
        <v>46004.0</v>
      </c>
      <c r="T247" s="468">
        <v>46004.0</v>
      </c>
      <c r="U247" s="162" t="str">
        <f t="shared" si="19"/>
        <v>8 days</v>
      </c>
      <c r="V247" s="466">
        <v>45996.0</v>
      </c>
      <c r="W247" s="471" t="s">
        <v>1162</v>
      </c>
      <c r="X247" s="261" t="s">
        <v>131</v>
      </c>
      <c r="Y247" s="251" t="s">
        <v>132</v>
      </c>
      <c r="Z247" s="172"/>
      <c r="AA247" s="264"/>
      <c r="AB247" s="162" t="b">
        <v>1</v>
      </c>
      <c r="AC247" s="175" t="b">
        <v>1</v>
      </c>
      <c r="AD247" s="175" t="b">
        <v>1</v>
      </c>
      <c r="AE247" s="180" t="b">
        <v>1</v>
      </c>
      <c r="AF247" s="180" t="b">
        <v>1</v>
      </c>
      <c r="AG247" s="475" t="b">
        <v>0</v>
      </c>
      <c r="AH247" s="166"/>
      <c r="AI247" s="266">
        <v>1.7E7</v>
      </c>
      <c r="AJ247" s="266"/>
      <c r="AK247" s="251" t="s">
        <v>30</v>
      </c>
      <c r="AL247" s="251" t="s">
        <v>30</v>
      </c>
      <c r="AM247" s="251" t="s">
        <v>30</v>
      </c>
      <c r="AN247" s="251" t="s">
        <v>620</v>
      </c>
      <c r="AO247" s="269"/>
      <c r="AP247" s="269"/>
      <c r="AQ247" s="269"/>
      <c r="AR247" s="161" t="b">
        <v>0</v>
      </c>
      <c r="AS247" s="465" t="b">
        <v>0</v>
      </c>
      <c r="AT247" s="270"/>
      <c r="AU247" s="404"/>
      <c r="AV247" s="404"/>
    </row>
    <row r="248">
      <c r="A248" s="404"/>
      <c r="B248" s="413">
        <v>45978.0</v>
      </c>
      <c r="C248" s="414" t="s">
        <v>113</v>
      </c>
      <c r="D248" s="415" t="s">
        <v>136</v>
      </c>
      <c r="E248" s="594"/>
      <c r="F248" s="387" t="s">
        <v>115</v>
      </c>
      <c r="G248" s="387" t="s">
        <v>287</v>
      </c>
      <c r="H248" s="166"/>
      <c r="I248" s="402" t="s">
        <v>1163</v>
      </c>
      <c r="J248" s="402" t="s">
        <v>118</v>
      </c>
      <c r="K248" s="694" t="s">
        <v>1164</v>
      </c>
      <c r="L248" s="711" t="s">
        <v>1165</v>
      </c>
      <c r="M248" s="590"/>
      <c r="N248" s="675" t="s">
        <v>119</v>
      </c>
      <c r="O248" s="675" t="s">
        <v>120</v>
      </c>
      <c r="P248" s="387">
        <v>149.0</v>
      </c>
      <c r="Q248" s="675" t="s">
        <v>415</v>
      </c>
      <c r="R248" s="471">
        <f t="shared" si="18"/>
        <v>1</v>
      </c>
      <c r="S248" s="564">
        <v>46009.0</v>
      </c>
      <c r="T248" s="712">
        <v>46009.0</v>
      </c>
      <c r="U248" s="162" t="str">
        <f t="shared" si="19"/>
        <v>30 days</v>
      </c>
      <c r="V248" s="712">
        <v>45979.0</v>
      </c>
      <c r="W248" s="471" t="s">
        <v>1166</v>
      </c>
      <c r="X248" s="402" t="s">
        <v>29</v>
      </c>
      <c r="Y248" s="387" t="s">
        <v>29</v>
      </c>
      <c r="Z248" s="431"/>
      <c r="AA248" s="686" t="s">
        <v>133</v>
      </c>
      <c r="AB248" s="396" t="b">
        <v>1</v>
      </c>
      <c r="AC248" s="397" t="b">
        <v>0</v>
      </c>
      <c r="AD248" s="669" t="b">
        <v>0</v>
      </c>
      <c r="AE248" s="620" t="b">
        <v>0</v>
      </c>
      <c r="AF248" s="620" t="b">
        <v>0</v>
      </c>
      <c r="AG248" s="475" t="b">
        <v>0</v>
      </c>
      <c r="AH248" s="433"/>
      <c r="AI248" s="680">
        <v>3.63969E7</v>
      </c>
      <c r="AJ248" s="680"/>
      <c r="AK248" s="568"/>
      <c r="AL248" s="568"/>
      <c r="AM248" s="568"/>
      <c r="AN248" s="441"/>
      <c r="AO248" s="713"/>
      <c r="AP248" s="713"/>
      <c r="AQ248" s="713"/>
      <c r="AR248" s="161" t="b">
        <v>0</v>
      </c>
      <c r="AS248" s="465" t="b">
        <v>0</v>
      </c>
      <c r="AT248" s="404"/>
      <c r="AU248" s="103"/>
      <c r="AV248" s="103"/>
    </row>
    <row r="249">
      <c r="A249" s="404"/>
      <c r="B249" s="413">
        <v>45992.0</v>
      </c>
      <c r="C249" s="414" t="s">
        <v>113</v>
      </c>
      <c r="D249" s="415" t="s">
        <v>250</v>
      </c>
      <c r="E249" s="594"/>
      <c r="F249" s="387" t="s">
        <v>170</v>
      </c>
      <c r="G249" s="387" t="s">
        <v>170</v>
      </c>
      <c r="H249" s="166"/>
      <c r="I249" s="402" t="s">
        <v>1167</v>
      </c>
      <c r="J249" s="402" t="s">
        <v>118</v>
      </c>
      <c r="K249" s="694" t="s">
        <v>788</v>
      </c>
      <c r="L249" s="711" t="s">
        <v>789</v>
      </c>
      <c r="M249" s="590"/>
      <c r="N249" s="675" t="s">
        <v>182</v>
      </c>
      <c r="O249" s="675" t="s">
        <v>182</v>
      </c>
      <c r="P249" s="387">
        <v>1.0</v>
      </c>
      <c r="Q249" s="675" t="s">
        <v>616</v>
      </c>
      <c r="R249" s="471">
        <f t="shared" si="18"/>
        <v>1</v>
      </c>
      <c r="S249" s="564">
        <v>46010.0</v>
      </c>
      <c r="T249" s="712">
        <v>46010.0</v>
      </c>
      <c r="U249" s="162" t="str">
        <f t="shared" si="19"/>
        <v>0 days</v>
      </c>
      <c r="V249" s="712">
        <v>46010.0</v>
      </c>
      <c r="W249" s="471" t="s">
        <v>1168</v>
      </c>
      <c r="X249" s="402" t="s">
        <v>131</v>
      </c>
      <c r="Y249" s="387" t="s">
        <v>132</v>
      </c>
      <c r="Z249" s="431"/>
      <c r="AA249" s="686" t="s">
        <v>133</v>
      </c>
      <c r="AB249" s="396" t="b">
        <v>1</v>
      </c>
      <c r="AC249" s="669" t="b">
        <v>0</v>
      </c>
      <c r="AD249" s="397" t="b">
        <v>1</v>
      </c>
      <c r="AE249" s="398" t="b">
        <v>1</v>
      </c>
      <c r="AF249" s="620" t="b">
        <v>0</v>
      </c>
      <c r="AG249" s="475" t="b">
        <v>0</v>
      </c>
      <c r="AH249" s="433"/>
      <c r="AI249" s="680">
        <v>9.592E7</v>
      </c>
      <c r="AJ249" s="680"/>
      <c r="AK249" s="436"/>
      <c r="AL249" s="436" t="s">
        <v>30</v>
      </c>
      <c r="AM249" s="436" t="s">
        <v>1064</v>
      </c>
      <c r="AN249" s="402"/>
      <c r="AO249" s="713"/>
      <c r="AP249" s="713"/>
      <c r="AQ249" s="713"/>
      <c r="AR249" s="161" t="b">
        <v>0</v>
      </c>
      <c r="AS249" s="465" t="b">
        <v>0</v>
      </c>
      <c r="AT249" s="404"/>
      <c r="AU249" s="103"/>
      <c r="AV249" s="103"/>
    </row>
    <row r="250">
      <c r="A250" s="103"/>
      <c r="B250" s="413">
        <v>45970.0</v>
      </c>
      <c r="C250" s="414" t="s">
        <v>113</v>
      </c>
      <c r="D250" s="415" t="s">
        <v>652</v>
      </c>
      <c r="E250" s="594"/>
      <c r="F250" s="387" t="s">
        <v>764</v>
      </c>
      <c r="G250" s="387" t="s">
        <v>162</v>
      </c>
      <c r="H250" s="166"/>
      <c r="I250" s="402" t="s">
        <v>1169</v>
      </c>
      <c r="J250" s="402" t="s">
        <v>118</v>
      </c>
      <c r="K250" s="694" t="s">
        <v>1170</v>
      </c>
      <c r="L250" s="711" t="s">
        <v>1171</v>
      </c>
      <c r="M250" s="590"/>
      <c r="N250" s="675" t="s">
        <v>119</v>
      </c>
      <c r="O250" s="675" t="s">
        <v>120</v>
      </c>
      <c r="P250" s="387">
        <v>55.0</v>
      </c>
      <c r="Q250" s="675" t="s">
        <v>1172</v>
      </c>
      <c r="R250" s="738">
        <f t="shared" si="18"/>
        <v>2</v>
      </c>
      <c r="S250" s="564">
        <v>46014.0</v>
      </c>
      <c r="T250" s="598">
        <v>46015.0</v>
      </c>
      <c r="U250" s="162" t="str">
        <f t="shared" si="19"/>
        <v>32 days</v>
      </c>
      <c r="V250" s="712">
        <v>45982.0</v>
      </c>
      <c r="W250" s="471" t="s">
        <v>1173</v>
      </c>
      <c r="X250" s="402" t="s">
        <v>131</v>
      </c>
      <c r="Y250" s="387" t="s">
        <v>132</v>
      </c>
      <c r="Z250" s="431"/>
      <c r="AA250" s="686" t="s">
        <v>133</v>
      </c>
      <c r="AB250" s="396" t="b">
        <v>1</v>
      </c>
      <c r="AC250" s="397" t="b">
        <v>0</v>
      </c>
      <c r="AD250" s="669" t="b">
        <v>0</v>
      </c>
      <c r="AE250" s="398" t="b">
        <v>1</v>
      </c>
      <c r="AF250" s="620" t="b">
        <v>0</v>
      </c>
      <c r="AG250" s="475" t="b">
        <v>0</v>
      </c>
      <c r="AH250" s="433"/>
      <c r="AI250" s="680">
        <v>1.57398E8</v>
      </c>
      <c r="AJ250" s="680"/>
      <c r="AK250" s="436" t="s">
        <v>134</v>
      </c>
      <c r="AL250" s="436" t="s">
        <v>134</v>
      </c>
      <c r="AM250" s="251" t="s">
        <v>134</v>
      </c>
      <c r="AN250" s="402" t="s">
        <v>620</v>
      </c>
      <c r="AO250" s="713"/>
      <c r="AP250" s="713"/>
      <c r="AQ250" s="713"/>
      <c r="AR250" s="161" t="b">
        <v>0</v>
      </c>
      <c r="AS250" s="465" t="b">
        <v>0</v>
      </c>
      <c r="AT250" s="404"/>
      <c r="AU250" s="404"/>
      <c r="AV250" s="404"/>
    </row>
    <row r="251">
      <c r="A251" s="103"/>
      <c r="B251" s="742">
        <v>45978.0</v>
      </c>
      <c r="C251" s="581" t="s">
        <v>113</v>
      </c>
      <c r="D251" s="692" t="s">
        <v>136</v>
      </c>
      <c r="E251" s="436" t="s">
        <v>1047</v>
      </c>
      <c r="F251" s="581" t="s">
        <v>115</v>
      </c>
      <c r="G251" s="555" t="s">
        <v>116</v>
      </c>
      <c r="H251" s="743"/>
      <c r="I251" s="436" t="s">
        <v>1130</v>
      </c>
      <c r="J251" s="436" t="s">
        <v>146</v>
      </c>
      <c r="K251" s="714" t="s">
        <v>1131</v>
      </c>
      <c r="L251" s="597" t="s">
        <v>1132</v>
      </c>
      <c r="M251" s="569"/>
      <c r="N251" s="568" t="s">
        <v>182</v>
      </c>
      <c r="O251" s="568" t="s">
        <v>182</v>
      </c>
      <c r="P251" s="414">
        <v>1.0</v>
      </c>
      <c r="Q251" s="436" t="s">
        <v>415</v>
      </c>
      <c r="R251" s="738">
        <f t="shared" si="18"/>
        <v>3</v>
      </c>
      <c r="S251" s="744">
        <v>46017.0</v>
      </c>
      <c r="T251" s="745">
        <v>46019.0</v>
      </c>
      <c r="U251" s="428" t="str">
        <f t="shared" si="19"/>
        <v>39 days</v>
      </c>
      <c r="V251" s="599">
        <v>45978.0</v>
      </c>
      <c r="W251" s="471" t="s">
        <v>1174</v>
      </c>
      <c r="X251" s="559" t="s">
        <v>131</v>
      </c>
      <c r="Y251" s="555" t="s">
        <v>132</v>
      </c>
      <c r="Z251" s="431"/>
      <c r="AA251" s="432" t="s">
        <v>133</v>
      </c>
      <c r="AB251" s="396" t="b">
        <v>0</v>
      </c>
      <c r="AC251" s="669" t="b">
        <v>0</v>
      </c>
      <c r="AD251" s="669" t="b">
        <v>0</v>
      </c>
      <c r="AE251" s="620" t="b">
        <v>0</v>
      </c>
      <c r="AF251" s="620" t="b">
        <v>0</v>
      </c>
      <c r="AG251" s="746" t="b">
        <v>0</v>
      </c>
      <c r="AH251" s="433"/>
      <c r="AI251" s="600">
        <v>1.352313E8</v>
      </c>
      <c r="AJ251" s="435"/>
      <c r="AK251" s="559" t="s">
        <v>134</v>
      </c>
      <c r="AL251" s="559" t="s">
        <v>134</v>
      </c>
      <c r="AM251" s="559" t="s">
        <v>134</v>
      </c>
      <c r="AN251" s="559" t="s">
        <v>135</v>
      </c>
      <c r="AO251" s="438"/>
      <c r="AP251" s="438"/>
      <c r="AQ251" s="438"/>
      <c r="AR251" s="702" t="b">
        <v>0</v>
      </c>
      <c r="AS251" s="602" t="b">
        <v>0</v>
      </c>
      <c r="AT251" s="441"/>
      <c r="AU251" s="404"/>
      <c r="AV251" s="404"/>
    </row>
    <row r="252">
      <c r="A252" s="579"/>
      <c r="B252" s="413">
        <v>45974.0</v>
      </c>
      <c r="C252" s="414" t="s">
        <v>113</v>
      </c>
      <c r="D252" s="415" t="s">
        <v>652</v>
      </c>
      <c r="E252" s="594"/>
      <c r="F252" s="387" t="s">
        <v>1028</v>
      </c>
      <c r="G252" s="387" t="s">
        <v>116</v>
      </c>
      <c r="H252" s="166"/>
      <c r="I252" s="402" t="s">
        <v>1175</v>
      </c>
      <c r="J252" s="402" t="s">
        <v>118</v>
      </c>
      <c r="K252" s="694" t="s">
        <v>350</v>
      </c>
      <c r="L252" s="711" t="s">
        <v>1176</v>
      </c>
      <c r="M252" s="590"/>
      <c r="N252" s="675" t="s">
        <v>119</v>
      </c>
      <c r="O252" s="675" t="s">
        <v>120</v>
      </c>
      <c r="P252" s="387">
        <v>30.0</v>
      </c>
      <c r="Q252" s="675" t="s">
        <v>475</v>
      </c>
      <c r="R252" s="471">
        <f t="shared" si="18"/>
        <v>1</v>
      </c>
      <c r="S252" s="708">
        <v>46023.0</v>
      </c>
      <c r="T252" s="747">
        <v>46023.0</v>
      </c>
      <c r="U252" s="162" t="str">
        <f t="shared" si="19"/>
        <v>49 days</v>
      </c>
      <c r="V252" s="712">
        <v>45974.0</v>
      </c>
      <c r="W252" s="471" t="s">
        <v>1177</v>
      </c>
      <c r="X252" s="402" t="s">
        <v>29</v>
      </c>
      <c r="Y252" s="387" t="s">
        <v>29</v>
      </c>
      <c r="Z252" s="431"/>
      <c r="AA252" s="686"/>
      <c r="AB252" s="396" t="b">
        <v>0</v>
      </c>
      <c r="AC252" s="669" t="b">
        <v>0</v>
      </c>
      <c r="AD252" s="397" t="b">
        <v>0</v>
      </c>
      <c r="AE252" s="398" t="b">
        <v>0</v>
      </c>
      <c r="AF252" s="620" t="b">
        <v>0</v>
      </c>
      <c r="AG252" s="475" t="b">
        <v>0</v>
      </c>
      <c r="AH252" s="433"/>
      <c r="AI252" s="680">
        <v>1.332E7</v>
      </c>
      <c r="AJ252" s="680"/>
      <c r="AK252" s="568"/>
      <c r="AL252" s="568"/>
      <c r="AM252" s="568"/>
      <c r="AN252" s="441"/>
      <c r="AO252" s="713"/>
      <c r="AP252" s="713"/>
      <c r="AQ252" s="713"/>
      <c r="AR252" s="161" t="b">
        <v>0</v>
      </c>
      <c r="AS252" s="465" t="b">
        <v>0</v>
      </c>
      <c r="AT252" s="103"/>
      <c r="AU252" s="441"/>
      <c r="AV252" s="441"/>
    </row>
    <row r="253">
      <c r="A253" s="103"/>
      <c r="B253" s="554">
        <v>45939.0</v>
      </c>
      <c r="C253" s="555" t="s">
        <v>113</v>
      </c>
      <c r="D253" s="692" t="s">
        <v>136</v>
      </c>
      <c r="E253" s="579"/>
      <c r="F253" s="557" t="s">
        <v>115</v>
      </c>
      <c r="G253" s="557" t="s">
        <v>116</v>
      </c>
      <c r="H253" s="582"/>
      <c r="I253" s="693" t="s">
        <v>1178</v>
      </c>
      <c r="J253" s="693" t="s">
        <v>118</v>
      </c>
      <c r="K253" s="707" t="s">
        <v>1179</v>
      </c>
      <c r="L253" s="717"/>
      <c r="M253" s="585"/>
      <c r="N253" s="693" t="s">
        <v>119</v>
      </c>
      <c r="O253" s="693" t="s">
        <v>209</v>
      </c>
      <c r="P253" s="557">
        <v>30.0</v>
      </c>
      <c r="Q253" s="696" t="s">
        <v>415</v>
      </c>
      <c r="R253" s="471">
        <f t="shared" si="18"/>
        <v>1</v>
      </c>
      <c r="S253" s="708">
        <v>46042.0</v>
      </c>
      <c r="T253" s="701">
        <v>46042.0</v>
      </c>
      <c r="U253" s="566" t="str">
        <f t="shared" si="19"/>
        <v>103 days</v>
      </c>
      <c r="V253" s="587">
        <v>45939.0</v>
      </c>
      <c r="W253" s="471" t="s">
        <v>1180</v>
      </c>
      <c r="X253" s="559" t="s">
        <v>29</v>
      </c>
      <c r="Y253" s="555" t="s">
        <v>29</v>
      </c>
      <c r="Z253" s="412"/>
      <c r="AA253" s="432"/>
      <c r="AB253" s="645" t="b">
        <v>0</v>
      </c>
      <c r="AC253" s="690" t="b">
        <v>0</v>
      </c>
      <c r="AD253" s="646" t="b">
        <v>0</v>
      </c>
      <c r="AE253" s="691" t="b">
        <v>0</v>
      </c>
      <c r="AF253" s="647" t="b">
        <v>0</v>
      </c>
      <c r="AG253" s="475" t="b">
        <v>0</v>
      </c>
      <c r="AH253" s="648"/>
      <c r="AI253" s="505">
        <v>4.501E7</v>
      </c>
      <c r="AJ253" s="107"/>
      <c r="AK253" s="436"/>
      <c r="AL253" s="436"/>
      <c r="AM253" s="436"/>
      <c r="AN253" s="436"/>
      <c r="AO253" s="438"/>
      <c r="AP253" s="438"/>
      <c r="AQ253" s="438"/>
      <c r="AR253" s="702" t="b">
        <v>0</v>
      </c>
      <c r="AS253" s="602" t="b">
        <v>0</v>
      </c>
      <c r="AT253" s="404"/>
      <c r="AU253" s="404"/>
      <c r="AV253" s="404"/>
    </row>
    <row r="254">
      <c r="A254" s="103"/>
      <c r="B254" s="477">
        <v>45902.0</v>
      </c>
      <c r="C254" s="506" t="s">
        <v>113</v>
      </c>
      <c r="D254" s="506" t="s">
        <v>250</v>
      </c>
      <c r="E254" s="106"/>
      <c r="F254" s="478" t="s">
        <v>170</v>
      </c>
      <c r="G254" s="478" t="s">
        <v>170</v>
      </c>
      <c r="H254" s="490"/>
      <c r="I254" s="495" t="s">
        <v>1181</v>
      </c>
      <c r="J254" s="480" t="s">
        <v>118</v>
      </c>
      <c r="K254" s="461" t="s">
        <v>1182</v>
      </c>
      <c r="L254" s="461"/>
      <c r="M254" s="748"/>
      <c r="N254" s="480" t="s">
        <v>119</v>
      </c>
      <c r="O254" s="480" t="s">
        <v>120</v>
      </c>
      <c r="P254" s="106">
        <v>150.0</v>
      </c>
      <c r="Q254" s="495" t="s">
        <v>295</v>
      </c>
      <c r="R254" s="471">
        <f t="shared" si="18"/>
        <v>1</v>
      </c>
      <c r="S254" s="464">
        <v>46067.0</v>
      </c>
      <c r="T254" s="484">
        <v>46067.0</v>
      </c>
      <c r="U254" s="485" t="str">
        <f t="shared" si="19"/>
        <v>165 days</v>
      </c>
      <c r="V254" s="486">
        <v>45902.0</v>
      </c>
      <c r="W254" s="471" t="s">
        <v>1183</v>
      </c>
      <c r="X254" s="480" t="s">
        <v>29</v>
      </c>
      <c r="Y254" s="478" t="s">
        <v>29</v>
      </c>
      <c r="Z254" s="508"/>
      <c r="AA254" s="508"/>
      <c r="AB254" s="544" t="b">
        <v>0</v>
      </c>
      <c r="AC254" s="544" t="b">
        <v>0</v>
      </c>
      <c r="AD254" s="544" t="b">
        <v>0</v>
      </c>
      <c r="AE254" s="544" t="b">
        <v>0</v>
      </c>
      <c r="AF254" s="544" t="b">
        <v>0</v>
      </c>
      <c r="AG254" s="490" t="b">
        <v>0</v>
      </c>
      <c r="AH254" s="749"/>
      <c r="AI254" s="505">
        <v>1.93314825E8</v>
      </c>
      <c r="AJ254" s="505"/>
      <c r="AK254" s="512"/>
      <c r="AL254" s="512"/>
      <c r="AM254" s="512"/>
      <c r="AN254" s="478"/>
      <c r="AO254" s="499"/>
      <c r="AP254" s="499"/>
      <c r="AQ254" s="499"/>
      <c r="AR254" s="490" t="b">
        <v>0</v>
      </c>
      <c r="AS254" s="527" t="b">
        <v>0</v>
      </c>
      <c r="AT254" s="103"/>
      <c r="AU254" s="404"/>
      <c r="AV254" s="404"/>
    </row>
    <row r="255">
      <c r="A255" s="103"/>
      <c r="B255" s="477">
        <v>45720.0</v>
      </c>
      <c r="C255" s="478" t="s">
        <v>113</v>
      </c>
      <c r="D255" s="478" t="s">
        <v>136</v>
      </c>
      <c r="E255" s="476"/>
      <c r="F255" s="478" t="s">
        <v>115</v>
      </c>
      <c r="G255" s="478" t="s">
        <v>287</v>
      </c>
      <c r="H255" s="490"/>
      <c r="I255" s="750"/>
      <c r="J255" s="480" t="s">
        <v>118</v>
      </c>
      <c r="K255" s="751"/>
      <c r="L255" s="751"/>
      <c r="M255" s="531"/>
      <c r="N255" s="480" t="s">
        <v>119</v>
      </c>
      <c r="O255" s="480" t="s">
        <v>166</v>
      </c>
      <c r="P255" s="478">
        <v>200.0</v>
      </c>
      <c r="Q255" s="480" t="s">
        <v>601</v>
      </c>
      <c r="R255" s="471">
        <f t="shared" si="18"/>
        <v>1</v>
      </c>
      <c r="S255" s="752" t="s">
        <v>1184</v>
      </c>
      <c r="T255" s="753" t="s">
        <v>1184</v>
      </c>
      <c r="U255" s="485" t="str">
        <f t="shared" si="19"/>
        <v>89 days</v>
      </c>
      <c r="V255" s="486">
        <v>45720.0</v>
      </c>
      <c r="W255" s="471" t="s">
        <v>1185</v>
      </c>
      <c r="X255" s="480" t="s">
        <v>29</v>
      </c>
      <c r="Y255" s="478" t="s">
        <v>29</v>
      </c>
      <c r="Z255" s="488"/>
      <c r="AA255" s="750"/>
      <c r="AB255" s="527" t="b">
        <v>0</v>
      </c>
      <c r="AC255" s="527" t="b">
        <v>0</v>
      </c>
      <c r="AD255" s="527" t="b">
        <v>0</v>
      </c>
      <c r="AE255" s="527" t="b">
        <v>0</v>
      </c>
      <c r="AF255" s="527" t="b">
        <v>0</v>
      </c>
      <c r="AG255" s="490" t="b">
        <v>0</v>
      </c>
      <c r="AH255" s="490"/>
      <c r="AI255" s="491">
        <v>3.885222E8</v>
      </c>
      <c r="AJ255" s="491"/>
      <c r="AK255" s="476"/>
      <c r="AL255" s="476"/>
      <c r="AM255" s="476"/>
      <c r="AN255" s="476"/>
      <c r="AO255" s="492"/>
      <c r="AP255" s="492"/>
      <c r="AQ255" s="492"/>
      <c r="AR255" s="490" t="b">
        <v>0</v>
      </c>
      <c r="AS255" s="527" t="b">
        <v>0</v>
      </c>
      <c r="AT255" s="476"/>
      <c r="AU255" s="404"/>
      <c r="AV255" s="404"/>
    </row>
    <row r="256">
      <c r="A256" s="103"/>
      <c r="B256" s="477">
        <v>45691.0</v>
      </c>
      <c r="C256" s="478" t="s">
        <v>113</v>
      </c>
      <c r="D256" s="478" t="s">
        <v>114</v>
      </c>
      <c r="E256" s="476"/>
      <c r="F256" s="478" t="s">
        <v>170</v>
      </c>
      <c r="G256" s="478" t="s">
        <v>170</v>
      </c>
      <c r="H256" s="490"/>
      <c r="I256" s="480" t="s">
        <v>1186</v>
      </c>
      <c r="J256" s="480" t="s">
        <v>118</v>
      </c>
      <c r="K256" s="469" t="s">
        <v>1187</v>
      </c>
      <c r="L256" s="406" t="s">
        <v>1188</v>
      </c>
      <c r="M256" s="481" t="s">
        <v>1189</v>
      </c>
      <c r="N256" s="480" t="s">
        <v>119</v>
      </c>
      <c r="O256" s="480" t="s">
        <v>174</v>
      </c>
      <c r="P256" s="478">
        <v>200.0</v>
      </c>
      <c r="Q256" s="480" t="s">
        <v>1190</v>
      </c>
      <c r="R256" s="471" t="str">
        <f t="shared" si="18"/>
        <v/>
      </c>
      <c r="S256" s="464"/>
      <c r="T256" s="484"/>
      <c r="U256" s="485" t="str">
        <f t="shared" si="19"/>
        <v>-45694 days</v>
      </c>
      <c r="V256" s="486">
        <v>45694.0</v>
      </c>
      <c r="W256" s="471" t="s">
        <v>1191</v>
      </c>
      <c r="X256" s="480" t="s">
        <v>29</v>
      </c>
      <c r="Y256" s="478" t="s">
        <v>29</v>
      </c>
      <c r="Z256" s="488"/>
      <c r="AA256" s="750"/>
      <c r="AB256" s="527" t="b">
        <v>0</v>
      </c>
      <c r="AC256" s="527" t="b">
        <v>0</v>
      </c>
      <c r="AD256" s="527" t="b">
        <v>0</v>
      </c>
      <c r="AE256" s="527" t="b">
        <v>0</v>
      </c>
      <c r="AF256" s="527" t="b">
        <v>0</v>
      </c>
      <c r="AG256" s="490" t="b">
        <v>0</v>
      </c>
      <c r="AH256" s="490"/>
      <c r="AI256" s="491">
        <v>4.11477E8</v>
      </c>
      <c r="AJ256" s="754"/>
      <c r="AK256" s="476"/>
      <c r="AL256" s="476"/>
      <c r="AM256" s="476"/>
      <c r="AN256" s="476"/>
      <c r="AO256" s="492"/>
      <c r="AP256" s="492"/>
      <c r="AQ256" s="492"/>
      <c r="AR256" s="490" t="b">
        <v>0</v>
      </c>
      <c r="AS256" s="527" t="b">
        <v>0</v>
      </c>
      <c r="AT256" s="476"/>
      <c r="AU256" s="404"/>
      <c r="AV256" s="404"/>
    </row>
    <row r="257">
      <c r="A257" s="404"/>
      <c r="B257" s="477">
        <v>45757.0</v>
      </c>
      <c r="C257" s="478" t="s">
        <v>190</v>
      </c>
      <c r="D257" s="478" t="s">
        <v>250</v>
      </c>
      <c r="E257" s="476"/>
      <c r="F257" s="478" t="s">
        <v>115</v>
      </c>
      <c r="G257" s="478" t="s">
        <v>116</v>
      </c>
      <c r="H257" s="479"/>
      <c r="I257" s="480" t="s">
        <v>1192</v>
      </c>
      <c r="J257" s="480" t="s">
        <v>146</v>
      </c>
      <c r="K257" s="255" t="s">
        <v>1193</v>
      </c>
      <c r="L257" s="303"/>
      <c r="M257" s="483"/>
      <c r="N257" s="480" t="s">
        <v>155</v>
      </c>
      <c r="O257" s="480" t="s">
        <v>306</v>
      </c>
      <c r="P257" s="478">
        <v>200.0</v>
      </c>
      <c r="Q257" s="480" t="s">
        <v>1194</v>
      </c>
      <c r="R257" s="471" t="str">
        <f t="shared" si="18"/>
        <v/>
      </c>
      <c r="S257" s="464"/>
      <c r="T257" s="484"/>
      <c r="U257" s="485" t="str">
        <f t="shared" si="19"/>
        <v>-45757 days</v>
      </c>
      <c r="V257" s="486">
        <v>45757.0</v>
      </c>
      <c r="W257" s="471" t="s">
        <v>1195</v>
      </c>
      <c r="X257" s="480" t="s">
        <v>29</v>
      </c>
      <c r="Y257" s="478" t="s">
        <v>29</v>
      </c>
      <c r="Z257" s="488"/>
      <c r="AA257" s="552" t="s">
        <v>123</v>
      </c>
      <c r="AB257" s="527" t="b">
        <v>0</v>
      </c>
      <c r="AC257" s="527" t="b">
        <v>0</v>
      </c>
      <c r="AD257" s="527" t="b">
        <v>0</v>
      </c>
      <c r="AE257" s="527" t="b">
        <v>0</v>
      </c>
      <c r="AF257" s="527" t="b">
        <v>0</v>
      </c>
      <c r="AG257" s="475" t="b">
        <v>0</v>
      </c>
      <c r="AH257" s="498"/>
      <c r="AI257" s="491">
        <v>4.0E7</v>
      </c>
      <c r="AJ257" s="491"/>
      <c r="AK257" s="476"/>
      <c r="AL257" s="476"/>
      <c r="AM257" s="476"/>
      <c r="AN257" s="476"/>
      <c r="AO257" s="492"/>
      <c r="AP257" s="492"/>
      <c r="AQ257" s="492"/>
      <c r="AR257" s="493" t="b">
        <v>0</v>
      </c>
      <c r="AS257" s="494" t="b">
        <v>0</v>
      </c>
      <c r="AT257" s="476"/>
      <c r="AU257" s="270"/>
      <c r="AV257" s="270"/>
    </row>
    <row r="258">
      <c r="A258" s="404"/>
      <c r="B258" s="477">
        <v>45808.0</v>
      </c>
      <c r="C258" s="478" t="s">
        <v>113</v>
      </c>
      <c r="D258" s="634" t="s">
        <v>250</v>
      </c>
      <c r="E258" s="478"/>
      <c r="F258" s="478" t="s">
        <v>115</v>
      </c>
      <c r="G258" s="478" t="s">
        <v>170</v>
      </c>
      <c r="H258" s="479"/>
      <c r="I258" s="480" t="s">
        <v>1196</v>
      </c>
      <c r="J258" s="480" t="s">
        <v>118</v>
      </c>
      <c r="K258" s="461" t="s">
        <v>1197</v>
      </c>
      <c r="L258" s="462" t="s">
        <v>1198</v>
      </c>
      <c r="M258" s="483"/>
      <c r="N258" s="480" t="s">
        <v>182</v>
      </c>
      <c r="O258" s="480" t="s">
        <v>238</v>
      </c>
      <c r="P258" s="478"/>
      <c r="Q258" s="480"/>
      <c r="R258" s="471" t="str">
        <f t="shared" si="18"/>
        <v/>
      </c>
      <c r="S258" s="464"/>
      <c r="T258" s="484"/>
      <c r="U258" s="485" t="str">
        <f t="shared" si="19"/>
        <v>-45808 days</v>
      </c>
      <c r="V258" s="486">
        <v>45808.0</v>
      </c>
      <c r="W258" s="471" t="s">
        <v>1199</v>
      </c>
      <c r="X258" s="480" t="s">
        <v>131</v>
      </c>
      <c r="Y258" s="478" t="s">
        <v>132</v>
      </c>
      <c r="Z258" s="655"/>
      <c r="AA258" s="656"/>
      <c r="AB258" s="722" t="b">
        <v>0</v>
      </c>
      <c r="AC258" s="657" t="b">
        <v>0</v>
      </c>
      <c r="AD258" s="657" t="b">
        <v>0</v>
      </c>
      <c r="AE258" s="658" t="b">
        <v>0</v>
      </c>
      <c r="AF258" s="658" t="b">
        <v>0</v>
      </c>
      <c r="AG258" s="475" t="b">
        <v>0</v>
      </c>
      <c r="AH258" s="479"/>
      <c r="AI258" s="491">
        <v>1.0126383E7</v>
      </c>
      <c r="AJ258" s="491"/>
      <c r="AK258" s="476"/>
      <c r="AL258" s="476"/>
      <c r="AM258" s="476"/>
      <c r="AN258" s="476"/>
      <c r="AO258" s="492"/>
      <c r="AP258" s="492"/>
      <c r="AQ258" s="492"/>
      <c r="AR258" s="490" t="b">
        <v>0</v>
      </c>
      <c r="AS258" s="484" t="b">
        <v>0</v>
      </c>
      <c r="AT258" s="476"/>
      <c r="AU258" s="404"/>
      <c r="AV258" s="404"/>
    </row>
    <row r="259">
      <c r="A259" s="404"/>
      <c r="B259" s="477">
        <v>45825.0</v>
      </c>
      <c r="C259" s="478" t="s">
        <v>113</v>
      </c>
      <c r="D259" s="478" t="s">
        <v>114</v>
      </c>
      <c r="E259" s="476"/>
      <c r="F259" s="478" t="s">
        <v>115</v>
      </c>
      <c r="G259" s="478" t="s">
        <v>170</v>
      </c>
      <c r="H259" s="479"/>
      <c r="I259" s="480" t="s">
        <v>1200</v>
      </c>
      <c r="J259" s="480" t="s">
        <v>118</v>
      </c>
      <c r="K259" s="255" t="s">
        <v>1201</v>
      </c>
      <c r="L259" s="256" t="s">
        <v>1202</v>
      </c>
      <c r="M259" s="483"/>
      <c r="N259" s="480" t="s">
        <v>119</v>
      </c>
      <c r="O259" s="480" t="s">
        <v>166</v>
      </c>
      <c r="P259" s="478">
        <v>300.0</v>
      </c>
      <c r="Q259" s="480" t="s">
        <v>1203</v>
      </c>
      <c r="R259" s="471" t="str">
        <f t="shared" si="18"/>
        <v/>
      </c>
      <c r="S259" s="464"/>
      <c r="T259" s="527"/>
      <c r="U259" s="485" t="str">
        <f t="shared" si="19"/>
        <v>0 days</v>
      </c>
      <c r="V259" s="755"/>
      <c r="W259" s="471" t="s">
        <v>1204</v>
      </c>
      <c r="X259" s="480" t="s">
        <v>29</v>
      </c>
      <c r="Y259" s="478" t="s">
        <v>29</v>
      </c>
      <c r="Z259" s="488"/>
      <c r="AA259" s="489"/>
      <c r="AB259" s="527" t="b">
        <v>0</v>
      </c>
      <c r="AC259" s="527" t="b">
        <v>0</v>
      </c>
      <c r="AD259" s="527" t="b">
        <v>0</v>
      </c>
      <c r="AE259" s="527" t="b">
        <v>0</v>
      </c>
      <c r="AF259" s="527" t="b">
        <v>0</v>
      </c>
      <c r="AG259" s="475" t="b">
        <v>0</v>
      </c>
      <c r="AH259" s="498"/>
      <c r="AI259" s="532"/>
      <c r="AJ259" s="532"/>
      <c r="AK259" s="476"/>
      <c r="AL259" s="476"/>
      <c r="AM259" s="476"/>
      <c r="AN259" s="476"/>
      <c r="AO259" s="492"/>
      <c r="AP259" s="492"/>
      <c r="AQ259" s="492"/>
      <c r="AR259" s="493" t="b">
        <v>0</v>
      </c>
      <c r="AS259" s="494" t="b">
        <v>0</v>
      </c>
      <c r="AT259" s="476"/>
      <c r="AU259" s="270"/>
      <c r="AV259" s="270"/>
    </row>
    <row r="260">
      <c r="A260" s="404"/>
      <c r="B260" s="413">
        <v>45957.0</v>
      </c>
      <c r="C260" s="414" t="s">
        <v>113</v>
      </c>
      <c r="D260" s="414" t="s">
        <v>136</v>
      </c>
      <c r="E260" s="387" t="s">
        <v>137</v>
      </c>
      <c r="F260" s="387" t="s">
        <v>115</v>
      </c>
      <c r="G260" s="387" t="s">
        <v>116</v>
      </c>
      <c r="H260" s="166"/>
      <c r="I260" s="402" t="s">
        <v>1205</v>
      </c>
      <c r="J260" s="402" t="s">
        <v>118</v>
      </c>
      <c r="K260" s="694" t="s">
        <v>1206</v>
      </c>
      <c r="L260" s="694"/>
      <c r="M260" s="590"/>
      <c r="N260" s="675" t="s">
        <v>119</v>
      </c>
      <c r="O260" s="675" t="s">
        <v>138</v>
      </c>
      <c r="P260" s="387">
        <v>20.0</v>
      </c>
      <c r="Q260" s="675" t="s">
        <v>415</v>
      </c>
      <c r="R260" s="471" t="str">
        <f t="shared" si="18"/>
        <v/>
      </c>
      <c r="S260" s="564"/>
      <c r="T260" s="598"/>
      <c r="U260" s="162" t="str">
        <f t="shared" si="19"/>
        <v>-45957 days</v>
      </c>
      <c r="V260" s="712">
        <v>45957.0</v>
      </c>
      <c r="W260" s="471" t="s">
        <v>1207</v>
      </c>
      <c r="X260" s="402" t="s">
        <v>29</v>
      </c>
      <c r="Y260" s="387" t="s">
        <v>29</v>
      </c>
      <c r="Z260" s="568"/>
      <c r="AA260" s="437" t="s">
        <v>133</v>
      </c>
      <c r="AB260" s="571" t="b">
        <v>0</v>
      </c>
      <c r="AC260" s="571" t="b">
        <v>0</v>
      </c>
      <c r="AD260" s="571" t="b">
        <v>0</v>
      </c>
      <c r="AE260" s="571" t="b">
        <v>0</v>
      </c>
      <c r="AF260" s="571" t="b">
        <v>0</v>
      </c>
      <c r="AG260" s="475" t="b">
        <v>0</v>
      </c>
      <c r="AH260" s="572"/>
      <c r="AI260" s="680">
        <v>9990000.0</v>
      </c>
      <c r="AJ260" s="680"/>
      <c r="AK260" s="568"/>
      <c r="AL260" s="568"/>
      <c r="AM260" s="568"/>
      <c r="AN260" s="441"/>
      <c r="AO260" s="713"/>
      <c r="AP260" s="713"/>
      <c r="AQ260" s="713"/>
      <c r="AR260" s="163" t="b">
        <v>0</v>
      </c>
      <c r="AS260" s="186" t="b">
        <v>0</v>
      </c>
      <c r="AT260" s="404"/>
      <c r="AU260" s="270"/>
      <c r="AV260" s="270"/>
    </row>
    <row r="261">
      <c r="A261" s="404"/>
      <c r="B261" s="413">
        <v>45997.0</v>
      </c>
      <c r="C261" s="414" t="s">
        <v>113</v>
      </c>
      <c r="D261" s="415" t="s">
        <v>250</v>
      </c>
      <c r="E261" s="594"/>
      <c r="F261" s="387" t="s">
        <v>170</v>
      </c>
      <c r="G261" s="387" t="s">
        <v>170</v>
      </c>
      <c r="H261" s="166"/>
      <c r="I261" s="402" t="s">
        <v>1208</v>
      </c>
      <c r="J261" s="402" t="s">
        <v>118</v>
      </c>
      <c r="K261" s="694" t="s">
        <v>1209</v>
      </c>
      <c r="L261" s="711" t="s">
        <v>1210</v>
      </c>
      <c r="M261" s="590"/>
      <c r="N261" s="675" t="s">
        <v>182</v>
      </c>
      <c r="O261" s="675" t="s">
        <v>182</v>
      </c>
      <c r="P261" s="387">
        <v>1.0</v>
      </c>
      <c r="Q261" s="675" t="s">
        <v>1211</v>
      </c>
      <c r="R261" s="471">
        <f t="shared" si="18"/>
        <v>1</v>
      </c>
      <c r="S261" s="564">
        <v>46006.0</v>
      </c>
      <c r="T261" s="598">
        <v>46006.0</v>
      </c>
      <c r="U261" s="162" t="str">
        <f t="shared" si="19"/>
        <v>9 days</v>
      </c>
      <c r="V261" s="712">
        <v>45997.0</v>
      </c>
      <c r="W261" s="471" t="s">
        <v>1212</v>
      </c>
      <c r="X261" s="402" t="s">
        <v>131</v>
      </c>
      <c r="Y261" s="387" t="s">
        <v>132</v>
      </c>
      <c r="Z261" s="431"/>
      <c r="AA261" s="686" t="s">
        <v>133</v>
      </c>
      <c r="AB261" s="396" t="b">
        <v>1</v>
      </c>
      <c r="AC261" s="669" t="b">
        <v>0</v>
      </c>
      <c r="AD261" s="397" t="b">
        <v>1</v>
      </c>
      <c r="AE261" s="398" t="b">
        <v>1</v>
      </c>
      <c r="AF261" s="620" t="b">
        <v>0</v>
      </c>
      <c r="AG261" s="475" t="b">
        <v>0</v>
      </c>
      <c r="AH261" s="433"/>
      <c r="AI261" s="680">
        <v>1.0E7</v>
      </c>
      <c r="AJ261" s="680"/>
      <c r="AK261" s="436" t="s">
        <v>40</v>
      </c>
      <c r="AL261" s="436" t="s">
        <v>30</v>
      </c>
      <c r="AM261" s="436" t="s">
        <v>1064</v>
      </c>
      <c r="AN261" s="402" t="s">
        <v>620</v>
      </c>
      <c r="AO261" s="713"/>
      <c r="AP261" s="713"/>
      <c r="AQ261" s="713"/>
      <c r="AR261" s="161" t="b">
        <v>0</v>
      </c>
      <c r="AS261" s="465" t="b">
        <v>0</v>
      </c>
      <c r="AT261" s="404"/>
      <c r="AU261" s="404"/>
      <c r="AV261" s="404"/>
    </row>
    <row r="262">
      <c r="A262" s="404"/>
      <c r="B262" s="413">
        <v>46006.0</v>
      </c>
      <c r="C262" s="251" t="s">
        <v>190</v>
      </c>
      <c r="D262" s="251" t="s">
        <v>136</v>
      </c>
      <c r="E262" s="251" t="s">
        <v>1160</v>
      </c>
      <c r="F262" s="251" t="s">
        <v>115</v>
      </c>
      <c r="G262" s="251" t="s">
        <v>192</v>
      </c>
      <c r="H262" s="166"/>
      <c r="I262" s="261" t="s">
        <v>1213</v>
      </c>
      <c r="J262" s="261" t="s">
        <v>146</v>
      </c>
      <c r="K262" s="255" t="s">
        <v>1214</v>
      </c>
      <c r="L262" s="255" t="s">
        <v>1215</v>
      </c>
      <c r="M262" s="463"/>
      <c r="N262" s="261" t="s">
        <v>119</v>
      </c>
      <c r="O262" s="261" t="s">
        <v>196</v>
      </c>
      <c r="P262" s="251">
        <v>69.0</v>
      </c>
      <c r="Q262" s="261" t="s">
        <v>947</v>
      </c>
      <c r="R262" s="471">
        <f t="shared" si="18"/>
        <v>1</v>
      </c>
      <c r="S262" s="464">
        <v>46010.0</v>
      </c>
      <c r="T262" s="468">
        <v>46010.0</v>
      </c>
      <c r="U262" s="162" t="str">
        <f t="shared" si="19"/>
        <v>3 days</v>
      </c>
      <c r="V262" s="466">
        <v>46007.0</v>
      </c>
      <c r="W262" s="471" t="s">
        <v>1216</v>
      </c>
      <c r="X262" s="261" t="s">
        <v>131</v>
      </c>
      <c r="Y262" s="251" t="s">
        <v>132</v>
      </c>
      <c r="Z262" s="174"/>
      <c r="AA262" s="467"/>
      <c r="AB262" s="161" t="b">
        <v>0</v>
      </c>
      <c r="AC262" s="161" t="b">
        <v>0</v>
      </c>
      <c r="AD262" s="161" t="b">
        <v>1</v>
      </c>
      <c r="AE262" s="161" t="b">
        <v>1</v>
      </c>
      <c r="AF262" s="161" t="b">
        <v>0</v>
      </c>
      <c r="AG262" s="475" t="b">
        <v>0</v>
      </c>
      <c r="AH262" s="501"/>
      <c r="AI262" s="266">
        <v>6900000.0</v>
      </c>
      <c r="AJ262" s="266"/>
      <c r="AK262" s="251" t="s">
        <v>30</v>
      </c>
      <c r="AL262" s="251" t="s">
        <v>30</v>
      </c>
      <c r="AM262" s="251" t="s">
        <v>1064</v>
      </c>
      <c r="AN262" s="251" t="s">
        <v>620</v>
      </c>
      <c r="AO262" s="269"/>
      <c r="AP262" s="269"/>
      <c r="AQ262" s="269"/>
      <c r="AR262" s="163" t="b">
        <v>0</v>
      </c>
      <c r="AS262" s="186" t="b">
        <v>0</v>
      </c>
      <c r="AT262" s="270"/>
      <c r="AU262" s="270"/>
      <c r="AV262" s="270"/>
    </row>
    <row r="263">
      <c r="A263" s="103"/>
      <c r="B263" s="413">
        <v>46003.0</v>
      </c>
      <c r="C263" s="414" t="s">
        <v>113</v>
      </c>
      <c r="D263" s="415" t="s">
        <v>143</v>
      </c>
      <c r="E263" s="387"/>
      <c r="F263" s="387" t="s">
        <v>115</v>
      </c>
      <c r="G263" s="387" t="s">
        <v>287</v>
      </c>
      <c r="H263" s="166"/>
      <c r="I263" s="402" t="s">
        <v>1217</v>
      </c>
      <c r="J263" s="402" t="s">
        <v>118</v>
      </c>
      <c r="K263" s="694" t="s">
        <v>1218</v>
      </c>
      <c r="L263" s="711" t="s">
        <v>1219</v>
      </c>
      <c r="M263" s="590"/>
      <c r="N263" s="675" t="s">
        <v>119</v>
      </c>
      <c r="O263" s="675" t="s">
        <v>120</v>
      </c>
      <c r="P263" s="387">
        <v>34.0</v>
      </c>
      <c r="Q263" s="675" t="s">
        <v>562</v>
      </c>
      <c r="R263" s="471">
        <f t="shared" si="18"/>
        <v>2</v>
      </c>
      <c r="S263" s="564">
        <v>46013.0</v>
      </c>
      <c r="T263" s="598">
        <v>46014.0</v>
      </c>
      <c r="U263" s="162" t="str">
        <f t="shared" si="19"/>
        <v>5 days</v>
      </c>
      <c r="V263" s="712">
        <v>46008.0</v>
      </c>
      <c r="W263" s="471" t="s">
        <v>1220</v>
      </c>
      <c r="X263" s="402" t="s">
        <v>131</v>
      </c>
      <c r="Y263" s="387" t="s">
        <v>132</v>
      </c>
      <c r="Z263" s="431"/>
      <c r="AA263" s="686" t="s">
        <v>133</v>
      </c>
      <c r="AB263" s="396" t="b">
        <v>1</v>
      </c>
      <c r="AC263" s="397" t="b">
        <v>1</v>
      </c>
      <c r="AD263" s="397" t="b">
        <v>0</v>
      </c>
      <c r="AE263" s="398" t="b">
        <v>0</v>
      </c>
      <c r="AF263" s="620" t="b">
        <v>0</v>
      </c>
      <c r="AG263" s="475" t="b">
        <v>0</v>
      </c>
      <c r="AH263" s="433"/>
      <c r="AI263" s="680">
        <v>2.1201E7</v>
      </c>
      <c r="AJ263" s="680"/>
      <c r="AK263" s="436" t="s">
        <v>30</v>
      </c>
      <c r="AL263" s="436" t="s">
        <v>40</v>
      </c>
      <c r="AM263" s="436" t="s">
        <v>1064</v>
      </c>
      <c r="AN263" s="402"/>
      <c r="AO263" s="713"/>
      <c r="AP263" s="713"/>
      <c r="AQ263" s="713"/>
      <c r="AR263" s="161" t="b">
        <v>0</v>
      </c>
      <c r="AS263" s="465" t="b">
        <v>0</v>
      </c>
      <c r="AT263" s="404"/>
      <c r="AU263" s="404"/>
      <c r="AV263" s="404"/>
    </row>
    <row r="264">
      <c r="A264" s="404"/>
      <c r="B264" s="413">
        <v>46013.0</v>
      </c>
      <c r="C264" s="414" t="s">
        <v>113</v>
      </c>
      <c r="D264" s="415" t="s">
        <v>250</v>
      </c>
      <c r="E264" s="387"/>
      <c r="F264" s="387" t="s">
        <v>115</v>
      </c>
      <c r="G264" s="387" t="s">
        <v>170</v>
      </c>
      <c r="H264" s="166"/>
      <c r="I264" s="402" t="s">
        <v>1221</v>
      </c>
      <c r="J264" s="402" t="s">
        <v>118</v>
      </c>
      <c r="K264" s="694" t="s">
        <v>1222</v>
      </c>
      <c r="L264" s="711" t="s">
        <v>1223</v>
      </c>
      <c r="M264" s="590"/>
      <c r="N264" s="675" t="s">
        <v>182</v>
      </c>
      <c r="O264" s="675" t="s">
        <v>182</v>
      </c>
      <c r="P264" s="387">
        <v>1.0</v>
      </c>
      <c r="Q264" s="675" t="s">
        <v>1221</v>
      </c>
      <c r="R264" s="471">
        <f t="shared" si="18"/>
        <v>1</v>
      </c>
      <c r="S264" s="564">
        <v>45987.0</v>
      </c>
      <c r="T264" s="598">
        <v>45987.0</v>
      </c>
      <c r="U264" s="162" t="str">
        <f t="shared" si="19"/>
        <v>0 days</v>
      </c>
      <c r="V264" s="712">
        <v>45987.0</v>
      </c>
      <c r="W264" s="471" t="s">
        <v>1224</v>
      </c>
      <c r="X264" s="402" t="s">
        <v>131</v>
      </c>
      <c r="Y264" s="387" t="s">
        <v>132</v>
      </c>
      <c r="Z264" s="431"/>
      <c r="AA264" s="686" t="s">
        <v>133</v>
      </c>
      <c r="AB264" s="396" t="b">
        <v>1</v>
      </c>
      <c r="AC264" s="669" t="b">
        <v>0</v>
      </c>
      <c r="AD264" s="397" t="b">
        <v>0</v>
      </c>
      <c r="AE264" s="398" t="b">
        <v>1</v>
      </c>
      <c r="AF264" s="620" t="b">
        <v>0</v>
      </c>
      <c r="AG264" s="475" t="b">
        <v>0</v>
      </c>
      <c r="AH264" s="433"/>
      <c r="AI264" s="680">
        <v>3.08025E7</v>
      </c>
      <c r="AJ264" s="680"/>
      <c r="AK264" s="436" t="s">
        <v>134</v>
      </c>
      <c r="AL264" s="436" t="s">
        <v>134</v>
      </c>
      <c r="AM264" s="436" t="s">
        <v>134</v>
      </c>
      <c r="AN264" s="402" t="s">
        <v>620</v>
      </c>
      <c r="AO264" s="713"/>
      <c r="AP264" s="713"/>
      <c r="AQ264" s="713"/>
      <c r="AR264" s="161" t="b">
        <v>0</v>
      </c>
      <c r="AS264" s="465" t="b">
        <v>0</v>
      </c>
      <c r="AT264" s="404"/>
      <c r="AU264" s="404"/>
      <c r="AV264" s="404"/>
    </row>
    <row r="265">
      <c r="A265" s="404"/>
      <c r="B265" s="413">
        <v>45993.0</v>
      </c>
      <c r="C265" s="414" t="s">
        <v>113</v>
      </c>
      <c r="D265" s="415" t="s">
        <v>250</v>
      </c>
      <c r="E265" s="387"/>
      <c r="F265" s="387" t="s">
        <v>115</v>
      </c>
      <c r="G265" s="387" t="s">
        <v>170</v>
      </c>
      <c r="H265" s="166"/>
      <c r="I265" s="402" t="s">
        <v>1221</v>
      </c>
      <c r="J265" s="402" t="s">
        <v>118</v>
      </c>
      <c r="K265" s="694" t="s">
        <v>1225</v>
      </c>
      <c r="L265" s="711" t="s">
        <v>672</v>
      </c>
      <c r="M265" s="590"/>
      <c r="N265" s="675" t="s">
        <v>182</v>
      </c>
      <c r="O265" s="675" t="s">
        <v>182</v>
      </c>
      <c r="P265" s="387">
        <v>1.0</v>
      </c>
      <c r="Q265" s="675" t="s">
        <v>1221</v>
      </c>
      <c r="R265" s="471">
        <f t="shared" si="18"/>
        <v>1</v>
      </c>
      <c r="S265" s="564">
        <v>45993.0</v>
      </c>
      <c r="T265" s="598">
        <v>45993.0</v>
      </c>
      <c r="U265" s="162" t="str">
        <f t="shared" si="19"/>
        <v>0 days</v>
      </c>
      <c r="V265" s="712">
        <v>45993.0</v>
      </c>
      <c r="W265" s="471" t="s">
        <v>1226</v>
      </c>
      <c r="X265" s="402" t="s">
        <v>131</v>
      </c>
      <c r="Y265" s="387" t="s">
        <v>132</v>
      </c>
      <c r="Z265" s="431"/>
      <c r="AA265" s="686" t="s">
        <v>133</v>
      </c>
      <c r="AB265" s="396" t="b">
        <v>1</v>
      </c>
      <c r="AC265" s="669" t="b">
        <v>0</v>
      </c>
      <c r="AD265" s="397" t="b">
        <v>0</v>
      </c>
      <c r="AE265" s="398" t="b">
        <v>1</v>
      </c>
      <c r="AF265" s="620" t="b">
        <v>0</v>
      </c>
      <c r="AG265" s="475" t="b">
        <v>0</v>
      </c>
      <c r="AH265" s="433"/>
      <c r="AI265" s="680">
        <v>2474200.0</v>
      </c>
      <c r="AJ265" s="680"/>
      <c r="AK265" s="436" t="s">
        <v>134</v>
      </c>
      <c r="AL265" s="436" t="s">
        <v>134</v>
      </c>
      <c r="AM265" s="436" t="s">
        <v>134</v>
      </c>
      <c r="AN265" s="402" t="s">
        <v>620</v>
      </c>
      <c r="AO265" s="713"/>
      <c r="AP265" s="713"/>
      <c r="AQ265" s="713"/>
      <c r="AR265" s="161" t="b">
        <v>0</v>
      </c>
      <c r="AS265" s="465" t="b">
        <v>0</v>
      </c>
      <c r="AT265" s="404"/>
      <c r="AU265" s="404"/>
      <c r="AV265" s="404"/>
    </row>
    <row r="266">
      <c r="A266" s="404"/>
      <c r="B266" s="413">
        <v>46006.0</v>
      </c>
      <c r="C266" s="414" t="s">
        <v>113</v>
      </c>
      <c r="D266" s="415" t="s">
        <v>250</v>
      </c>
      <c r="E266" s="387"/>
      <c r="F266" s="387" t="s">
        <v>115</v>
      </c>
      <c r="G266" s="387" t="s">
        <v>170</v>
      </c>
      <c r="H266" s="166"/>
      <c r="I266" s="402" t="s">
        <v>1221</v>
      </c>
      <c r="J266" s="402" t="s">
        <v>118</v>
      </c>
      <c r="K266" s="694" t="s">
        <v>1225</v>
      </c>
      <c r="L266" s="711" t="s">
        <v>672</v>
      </c>
      <c r="M266" s="590"/>
      <c r="N266" s="675" t="s">
        <v>182</v>
      </c>
      <c r="O266" s="675" t="s">
        <v>182</v>
      </c>
      <c r="P266" s="387">
        <v>1.0</v>
      </c>
      <c r="Q266" s="675" t="s">
        <v>1221</v>
      </c>
      <c r="R266" s="471">
        <f t="shared" si="18"/>
        <v>1</v>
      </c>
      <c r="S266" s="564">
        <v>46006.0</v>
      </c>
      <c r="T266" s="598">
        <v>46006.0</v>
      </c>
      <c r="U266" s="162" t="str">
        <f t="shared" si="19"/>
        <v>0 days</v>
      </c>
      <c r="V266" s="712">
        <v>46006.0</v>
      </c>
      <c r="W266" s="471" t="s">
        <v>1227</v>
      </c>
      <c r="X266" s="402" t="s">
        <v>131</v>
      </c>
      <c r="Y266" s="387" t="s">
        <v>132</v>
      </c>
      <c r="Z266" s="431"/>
      <c r="AA266" s="686" t="s">
        <v>133</v>
      </c>
      <c r="AB266" s="396" t="b">
        <v>1</v>
      </c>
      <c r="AC266" s="669" t="b">
        <v>0</v>
      </c>
      <c r="AD266" s="397" t="b">
        <v>0</v>
      </c>
      <c r="AE266" s="398" t="b">
        <v>1</v>
      </c>
      <c r="AF266" s="620" t="b">
        <v>0</v>
      </c>
      <c r="AG266" s="475" t="b">
        <v>0</v>
      </c>
      <c r="AH266" s="433"/>
      <c r="AI266" s="680">
        <v>1848150.0</v>
      </c>
      <c r="AJ266" s="680"/>
      <c r="AK266" s="436" t="s">
        <v>134</v>
      </c>
      <c r="AL266" s="436" t="s">
        <v>134</v>
      </c>
      <c r="AM266" s="436" t="s">
        <v>134</v>
      </c>
      <c r="AN266" s="402" t="s">
        <v>620</v>
      </c>
      <c r="AO266" s="713"/>
      <c r="AP266" s="713"/>
      <c r="AQ266" s="713"/>
      <c r="AR266" s="161" t="b">
        <v>0</v>
      </c>
      <c r="AS266" s="465" t="b">
        <v>0</v>
      </c>
      <c r="AT266" s="404"/>
      <c r="AU266" s="404"/>
      <c r="AV266" s="404"/>
    </row>
    <row r="267">
      <c r="A267" s="404"/>
      <c r="B267" s="413">
        <v>45995.0</v>
      </c>
      <c r="C267" s="414" t="s">
        <v>113</v>
      </c>
      <c r="D267" s="415" t="s">
        <v>250</v>
      </c>
      <c r="E267" s="594"/>
      <c r="F267" s="387" t="s">
        <v>170</v>
      </c>
      <c r="G267" s="387" t="s">
        <v>170</v>
      </c>
      <c r="H267" s="166"/>
      <c r="I267" s="402" t="s">
        <v>1228</v>
      </c>
      <c r="J267" s="402" t="s">
        <v>118</v>
      </c>
      <c r="K267" s="694" t="s">
        <v>1229</v>
      </c>
      <c r="L267" s="711" t="s">
        <v>274</v>
      </c>
      <c r="M267" s="590"/>
      <c r="N267" s="675" t="s">
        <v>182</v>
      </c>
      <c r="O267" s="675" t="s">
        <v>182</v>
      </c>
      <c r="P267" s="387">
        <v>1.0</v>
      </c>
      <c r="Q267" s="675" t="s">
        <v>616</v>
      </c>
      <c r="R267" s="471">
        <f t="shared" si="18"/>
        <v>1</v>
      </c>
      <c r="S267" s="564">
        <v>46001.0</v>
      </c>
      <c r="T267" s="598">
        <v>46001.0</v>
      </c>
      <c r="U267" s="162" t="str">
        <f t="shared" si="19"/>
        <v>6 days</v>
      </c>
      <c r="V267" s="712">
        <v>45995.0</v>
      </c>
      <c r="W267" s="471" t="s">
        <v>1230</v>
      </c>
      <c r="X267" s="402" t="s">
        <v>131</v>
      </c>
      <c r="Y267" s="387" t="s">
        <v>132</v>
      </c>
      <c r="Z267" s="431"/>
      <c r="AA267" s="686" t="s">
        <v>133</v>
      </c>
      <c r="AB267" s="396" t="b">
        <v>1</v>
      </c>
      <c r="AC267" s="669" t="b">
        <v>0</v>
      </c>
      <c r="AD267" s="397" t="b">
        <v>1</v>
      </c>
      <c r="AE267" s="398" t="b">
        <v>1</v>
      </c>
      <c r="AF267" s="620" t="b">
        <v>0</v>
      </c>
      <c r="AG267" s="475" t="b">
        <v>0</v>
      </c>
      <c r="AH267" s="433"/>
      <c r="AI267" s="680">
        <v>8000000.0</v>
      </c>
      <c r="AJ267" s="680"/>
      <c r="AK267" s="436" t="s">
        <v>40</v>
      </c>
      <c r="AL267" s="436" t="s">
        <v>40</v>
      </c>
      <c r="AM267" s="436" t="s">
        <v>1064</v>
      </c>
      <c r="AN267" s="402" t="s">
        <v>620</v>
      </c>
      <c r="AO267" s="713"/>
      <c r="AP267" s="713"/>
      <c r="AQ267" s="713"/>
      <c r="AR267" s="161" t="b">
        <v>0</v>
      </c>
      <c r="AS267" s="465" t="b">
        <v>0</v>
      </c>
      <c r="AT267" s="404"/>
      <c r="AU267" s="404"/>
      <c r="AV267" s="404"/>
    </row>
    <row r="268">
      <c r="A268" s="404"/>
      <c r="B268" s="413">
        <v>45981.0</v>
      </c>
      <c r="C268" s="414" t="s">
        <v>113</v>
      </c>
      <c r="D268" s="415" t="s">
        <v>250</v>
      </c>
      <c r="E268" s="594"/>
      <c r="F268" s="387" t="s">
        <v>170</v>
      </c>
      <c r="G268" s="387" t="s">
        <v>170</v>
      </c>
      <c r="H268" s="166"/>
      <c r="I268" s="402" t="s">
        <v>1231</v>
      </c>
      <c r="J268" s="402" t="s">
        <v>118</v>
      </c>
      <c r="K268" s="694" t="s">
        <v>1229</v>
      </c>
      <c r="L268" s="711" t="s">
        <v>274</v>
      </c>
      <c r="M268" s="590"/>
      <c r="N268" s="675" t="s">
        <v>182</v>
      </c>
      <c r="O268" s="675" t="s">
        <v>182</v>
      </c>
      <c r="P268" s="387">
        <v>1.0</v>
      </c>
      <c r="Q268" s="675" t="s">
        <v>616</v>
      </c>
      <c r="R268" s="471">
        <f t="shared" si="18"/>
        <v>1</v>
      </c>
      <c r="S268" s="564">
        <v>45988.0</v>
      </c>
      <c r="T268" s="598">
        <v>45988.0</v>
      </c>
      <c r="U268" s="162" t="str">
        <f t="shared" si="19"/>
        <v>7 days</v>
      </c>
      <c r="V268" s="712">
        <v>45981.0</v>
      </c>
      <c r="W268" s="471" t="s">
        <v>1232</v>
      </c>
      <c r="X268" s="402" t="s">
        <v>131</v>
      </c>
      <c r="Y268" s="387" t="s">
        <v>132</v>
      </c>
      <c r="Z268" s="431"/>
      <c r="AA268" s="686" t="s">
        <v>133</v>
      </c>
      <c r="AB268" s="396" t="b">
        <v>1</v>
      </c>
      <c r="AC268" s="669" t="b">
        <v>0</v>
      </c>
      <c r="AD268" s="397" t="b">
        <v>1</v>
      </c>
      <c r="AE268" s="398" t="b">
        <v>1</v>
      </c>
      <c r="AF268" s="620" t="b">
        <v>0</v>
      </c>
      <c r="AG268" s="475" t="b">
        <v>0</v>
      </c>
      <c r="AH268" s="433"/>
      <c r="AI268" s="680">
        <v>9350000.0</v>
      </c>
      <c r="AJ268" s="680"/>
      <c r="AK268" s="436" t="s">
        <v>40</v>
      </c>
      <c r="AL268" s="436" t="s">
        <v>40</v>
      </c>
      <c r="AM268" s="436" t="s">
        <v>1064</v>
      </c>
      <c r="AN268" s="402" t="s">
        <v>620</v>
      </c>
      <c r="AO268" s="713"/>
      <c r="AP268" s="713"/>
      <c r="AQ268" s="713"/>
      <c r="AR268" s="161" t="b">
        <v>0</v>
      </c>
      <c r="AS268" s="465" t="b">
        <v>0</v>
      </c>
      <c r="AT268" s="404"/>
      <c r="AU268" s="404"/>
      <c r="AV268" s="404"/>
    </row>
    <row r="269">
      <c r="A269" s="404"/>
      <c r="B269" s="413">
        <v>46003.0</v>
      </c>
      <c r="C269" s="414" t="s">
        <v>113</v>
      </c>
      <c r="D269" s="415" t="s">
        <v>136</v>
      </c>
      <c r="E269" s="594"/>
      <c r="F269" s="387" t="s">
        <v>115</v>
      </c>
      <c r="G269" s="387" t="s">
        <v>441</v>
      </c>
      <c r="H269" s="166"/>
      <c r="I269" s="402" t="s">
        <v>1233</v>
      </c>
      <c r="J269" s="402" t="s">
        <v>146</v>
      </c>
      <c r="K269" s="694"/>
      <c r="L269" s="694"/>
      <c r="M269" s="756"/>
      <c r="N269" s="675" t="s">
        <v>345</v>
      </c>
      <c r="O269" s="675" t="s">
        <v>238</v>
      </c>
      <c r="P269" s="387">
        <v>70.0</v>
      </c>
      <c r="Q269" s="675" t="s">
        <v>1234</v>
      </c>
      <c r="R269" s="471">
        <f t="shared" si="18"/>
        <v>2</v>
      </c>
      <c r="S269" s="564">
        <v>46011.0</v>
      </c>
      <c r="T269" s="598">
        <v>46012.0</v>
      </c>
      <c r="U269" s="162" t="str">
        <f t="shared" si="19"/>
        <v>8 days</v>
      </c>
      <c r="V269" s="712">
        <v>46003.0</v>
      </c>
      <c r="W269" s="471" t="s">
        <v>1235</v>
      </c>
      <c r="X269" s="402" t="s">
        <v>131</v>
      </c>
      <c r="Y269" s="387" t="s">
        <v>132</v>
      </c>
      <c r="Z269" s="431"/>
      <c r="AA269" s="686" t="s">
        <v>133</v>
      </c>
      <c r="AB269" s="396" t="b">
        <v>1</v>
      </c>
      <c r="AC269" s="669" t="b">
        <v>0</v>
      </c>
      <c r="AD269" s="397" t="b">
        <v>1</v>
      </c>
      <c r="AE269" s="398" t="b">
        <v>1</v>
      </c>
      <c r="AF269" s="620" t="b">
        <v>0</v>
      </c>
      <c r="AG269" s="475" t="b">
        <v>0</v>
      </c>
      <c r="AH269" s="433"/>
      <c r="AI269" s="680">
        <f>317167111+35056448</f>
        <v>352223559</v>
      </c>
      <c r="AJ269" s="680"/>
      <c r="AK269" s="436" t="s">
        <v>134</v>
      </c>
      <c r="AL269" s="436" t="s">
        <v>134</v>
      </c>
      <c r="AM269" s="436" t="s">
        <v>1064</v>
      </c>
      <c r="AN269" s="402" t="s">
        <v>620</v>
      </c>
      <c r="AO269" s="713"/>
      <c r="AP269" s="713"/>
      <c r="AQ269" s="713"/>
      <c r="AR269" s="161" t="b">
        <v>0</v>
      </c>
      <c r="AS269" s="465" t="b">
        <v>0</v>
      </c>
      <c r="AT269" s="404"/>
      <c r="AU269" s="404"/>
      <c r="AV269" s="404"/>
    </row>
    <row r="270">
      <c r="A270" s="103"/>
      <c r="B270" s="105"/>
      <c r="C270" s="103"/>
      <c r="D270" s="103"/>
      <c r="E270" s="103"/>
      <c r="F270" s="103"/>
      <c r="G270" s="103"/>
      <c r="H270" s="103"/>
      <c r="I270" s="104"/>
      <c r="J270" s="104"/>
      <c r="K270" s="103"/>
      <c r="L270" s="103"/>
      <c r="M270" s="103"/>
      <c r="N270" s="104"/>
      <c r="O270" s="104"/>
      <c r="P270" s="103"/>
      <c r="Q270" s="103"/>
      <c r="R270" s="103"/>
      <c r="S270" s="105"/>
      <c r="T270" s="105"/>
      <c r="U270" s="103"/>
      <c r="V270" s="105"/>
      <c r="W270" s="103"/>
      <c r="X270" s="104"/>
      <c r="Y270" s="103"/>
      <c r="Z270" s="104"/>
      <c r="AA270" s="104"/>
      <c r="AB270" s="105"/>
      <c r="AC270" s="105"/>
      <c r="AD270" s="105"/>
      <c r="AE270" s="105"/>
      <c r="AF270" s="105"/>
      <c r="AG270" s="105"/>
      <c r="AH270" s="105"/>
      <c r="AI270" s="107"/>
      <c r="AJ270" s="107"/>
      <c r="AK270" s="103"/>
      <c r="AL270" s="103"/>
      <c r="AM270" s="103"/>
      <c r="AN270" s="103"/>
      <c r="AO270" s="103"/>
      <c r="AP270" s="103"/>
      <c r="AQ270" s="103"/>
      <c r="AR270" s="490"/>
      <c r="AS270" s="527"/>
      <c r="AT270" s="103"/>
      <c r="AU270" s="103"/>
      <c r="AV270" s="103"/>
    </row>
  </sheetData>
  <autoFilter ref="$B$5:$AT$260">
    <sortState ref="B5:AT260">
      <sortCondition ref="S5:S260"/>
      <sortCondition ref="B5:B260"/>
    </sortState>
  </autoFilter>
  <mergeCells count="6">
    <mergeCell ref="B2:H2"/>
    <mergeCell ref="N2:T2"/>
    <mergeCell ref="U2:AA2"/>
    <mergeCell ref="AB2:AH2"/>
    <mergeCell ref="AI2:AN2"/>
    <mergeCell ref="AO2:AS2"/>
  </mergeCells>
  <conditionalFormatting sqref="Y6:Y169 AK6:AN167 AO6:AQ126 AT6:AV121 AO128:AQ141 AT128:AV141 AO148:AQ148 AT148:AV148 AO153:AQ158 AT153:AV158 AO162:AQ166 AT162:AV166 AN171:AN184 AO171:AQ171 AT171:AV171 Y172:Y184 Y191:Y195 AN191:AN195 Y228:Y229 Y235 Y237 Y239 Y245 AM253:AM257 Y257 AK257:AL257 AN257:AQ257 AT257:AV257 Y259:Y260 AK259:AQ260 AT259:AV260 Y262 AK262:AQ262 AT262:AV262">
    <cfRule type="cellIs" dxfId="4" priority="1" operator="equal">
      <formula>"Completed"</formula>
    </cfRule>
  </conditionalFormatting>
  <conditionalFormatting sqref="Y6:Y169 AK6:AN167 AO6:AQ126 AT6:AV121 AO128:AQ141 AT128:AV141 AO148:AQ148 AT148:AV148 AO153:AQ158 AT153:AV158 AO162:AQ166 AT162:AV166 AN171:AN184 AO171:AQ171 AT171:AV171 Y172:Y184 Y191:Y195 AN191:AN195 Y228:Y229 Y235 Y237 Y239 Y245 AM253:AM257 Y257 AK257:AL257 AN257:AQ257 AT257:AV257 Y259:Y260 AK259:AQ260 AT259:AV260 Y262 AK262:AQ262 AT262:AV262">
    <cfRule type="cellIs" dxfId="5" priority="2" operator="equal">
      <formula>"In Progress"</formula>
    </cfRule>
  </conditionalFormatting>
  <conditionalFormatting sqref="Y6:Y169 AK6:AN167 AO6:AQ126 AT6:AV121 AO128:AQ141 AT128:AV141 AO148:AQ148 AT148:AV148 AO153:AQ158 AT153:AV158 AO162:AQ166 AT162:AV166 AN171:AN184 AO171:AQ171 AT171:AV171 Y172:Y184 Y191:Y195 AN191:AN195 Y228:Y229 Y235 Y237 Y239 Y245 AM253:AM257 Y257 AK257:AL257 AN257:AQ257 AT257:AV257 Y259:Y260 AK259:AQ260 AT259:AV260 Y262 AK262:AQ262 AT262:AV262">
    <cfRule type="cellIs" dxfId="6" priority="3" operator="equal">
      <formula>"Not Started"</formula>
    </cfRule>
  </conditionalFormatting>
  <dataValidations>
    <dataValidation type="list" allowBlank="1" showErrorMessage="1" sqref="X12">
      <formula1>"Signed &amp; Deal,Feedback,Sent,On Progress,Cancel,Other"</formula1>
    </dataValidation>
    <dataValidation type="custom" allowBlank="1" showDropDown="1" showInputMessage="1" prompt="Enter a valid date" sqref="B6:B103 B106:B108 B110:B143 B145:B148 B150:B171 B173:B182 B184:B192 B194:B222 B224:B269">
      <formula1>OR(NOT(ISERROR(DATEVALUE(B6))), AND(ISNUMBER(B6), LEFT(CELL("format", B6))="D"))</formula1>
    </dataValidation>
    <dataValidation type="list" allowBlank="1" showErrorMessage="1" sqref="O26">
      <formula1>"TB - Scavenger Hunt,TB ,RFT,FG,OFR,ARC,AR,Production,ENT,Full Arrangement,Others,Study tour"</formula1>
    </dataValidation>
    <dataValidation type="list" allowBlank="1" showErrorMessage="1" sqref="F227">
      <formula1>Helper!$B$6:$B$18</formula1>
    </dataValidation>
    <dataValidation type="list" allowBlank="1" showErrorMessage="1" sqref="G64">
      <formula1>"MWB ,RA,BR,TF,UT,OME,SB"</formula1>
    </dataValidation>
    <dataValidation type="list" allowBlank="1" showErrorMessage="1" sqref="O6:O25 O27:O45 O47:O179 O181:O183 O186:O189 O191 O193:O196 O198:O199 O201:O204 O206 O208:O213 O215:O216 O218:O219 O222:O225 O227:O228 O231:O252 O254:O269">
      <formula1>"TB - Scavenger Hunt,TB ,RFT,FG,OFR,ARC,AR,Production,ENT,Full Arrangement,Others,Trekking,TOG,Master Chef"</formula1>
    </dataValidation>
    <dataValidation type="list" allowBlank="1" showErrorMessage="1" sqref="N6:N269">
      <formula1>Helper!$G$2:$G$18</formula1>
    </dataValidation>
    <dataValidation type="list" allowBlank="1" showErrorMessage="1" sqref="O180 O184:O185 O190 O192 O197 O200 O205 O207 O214 O217 O220:O221 O226 O229:O230 O253">
      <formula1>"TB - Scavenger Hunt,TB ,RFT,FG,OFR,ARC,AR,Production,ENT,Full Arrangement,Others,Trekking,TOG,Master Chef,Cooking Race,Pottery Class"</formula1>
    </dataValidation>
    <dataValidation type="list" allowBlank="1" showErrorMessage="1" sqref="X6:X11 X13:X269">
      <formula1>"Signed &amp; Deal,Feedback,Sent,In Progress,Cancel,Other"</formula1>
    </dataValidation>
    <dataValidation type="list" allowBlank="1" showErrorMessage="1" sqref="AA6:AA269">
      <formula1>"Budget,Competitor,Internal Reason,Program,Postponed,No Response,-"</formula1>
    </dataValidation>
    <dataValidation type="list" allowBlank="1" showErrorMessage="1" sqref="F6:F226 F228:F269">
      <formula1>Helper!$B$6:$B$18</formula1>
    </dataValidation>
    <dataValidation type="list" allowBlank="1" showErrorMessage="1" sqref="Y6:Y269">
      <formula1>"Confirm,In Progress,Feedback,Sent,Cancel,Other"</formula1>
    </dataValidation>
    <dataValidation type="list" allowBlank="1" showErrorMessage="1" sqref="O46">
      <formula1>"TB - Scavenger Hunt,TB ,RFT,FG,OFR,ARC,AR,Production,ENT,Full Arrangement,Others,Inflatable Race"</formula1>
    </dataValidation>
    <dataValidation type="list" allowBlank="1" showErrorMessage="1" sqref="D6:D269">
      <formula1>Helper!$E$2:$E$8</formula1>
    </dataValidation>
    <dataValidation type="list" allowBlank="1" showErrorMessage="1" sqref="C6:C269">
      <formula1>"LS,OS"</formula1>
    </dataValidation>
    <dataValidation type="list" allowBlank="1" showErrorMessage="1" sqref="AN6:AN269">
      <formula1>"Reporting,Closed"</formula1>
    </dataValidation>
    <dataValidation type="list" allowBlank="1" showErrorMessage="1" sqref="G6:G63 G65:G269">
      <formula1>"MWB ,RA,BR,TF,UT,OME,SB,SYS,MDL,AR"</formula1>
    </dataValidation>
    <dataValidation type="custom" allowBlank="1" showDropDown="1" sqref="S6:T91 T92 S93:T105 S107:T119 V6:V119 S121:T122 V121:V122 S124:T141 V124:V142 S144:T145 T146 S148:T150 V144:V150 S152:T157 V152:V158 S160:T165 V160:V165 T167 S168:T168 S170:T170 S172:T172 T173 T175:T177 S178:T179 V167:V179 S183:T183 V181:V183 S186:T186 S188:T188 V186:V189 V191 S193:T193 S195:T196 V193:V196 V198:V199 V201 V203:V204 V206 T208 V208:V213 V215:V216 S218:T219 V218:V219 S222:T224 V222:V225 V227:V228 S233:T233 S235:T235 S238:T240 S242:T242 S246:T247 V231:V252 S254:T258 S259 S262:T262 V254:V269">
      <formula1>OR(NOT(ISERROR(DATEVALUE(S6))), AND(ISNUMBER(S6), LEFT(CELL("format", S6))="D"))</formula1>
    </dataValidation>
    <dataValidation type="list" allowBlank="1" showErrorMessage="1" sqref="AK6:AM269">
      <formula1>"Paid,Invoice Sent,In Progress,DP 1,DP 2,Out Standing"</formula1>
    </dataValidation>
    <dataValidation type="list" allowBlank="1" showErrorMessage="1" sqref="J6:J269">
      <formula1>Helper!$F$2:$F$8</formula1>
    </dataValidation>
  </dataValidations>
  <hyperlinks>
    <hyperlink r:id="rId4" ref="AO8"/>
    <hyperlink r:id="rId5" ref="AQ8"/>
    <hyperlink r:id="rId6" ref="AO9"/>
    <hyperlink r:id="rId7" ref="AQ9"/>
    <hyperlink r:id="rId8" ref="AQ11"/>
    <hyperlink r:id="rId9" ref="AO12"/>
    <hyperlink r:id="rId10" ref="AQ12"/>
    <hyperlink r:id="rId11" ref="AO17"/>
    <hyperlink r:id="rId12" ref="AO18"/>
    <hyperlink r:id="rId13" ref="AO21"/>
    <hyperlink r:id="rId14" ref="AQ21"/>
    <hyperlink r:id="rId15" ref="AO22"/>
    <hyperlink r:id="rId16" ref="AQ22"/>
    <hyperlink r:id="rId17" ref="AO26"/>
    <hyperlink r:id="rId18" ref="AQ26"/>
    <hyperlink r:id="rId19" ref="Z34"/>
    <hyperlink r:id="rId20" ref="AO34"/>
    <hyperlink r:id="rId21" ref="AO35"/>
    <hyperlink r:id="rId22" ref="AQ35"/>
    <hyperlink r:id="rId23" ref="Z37"/>
    <hyperlink r:id="rId24" ref="AO37"/>
    <hyperlink r:id="rId25" ref="AO40"/>
    <hyperlink r:id="rId26" ref="AQ40"/>
    <hyperlink r:id="rId27" ref="AO42"/>
    <hyperlink r:id="rId28" ref="AQ42"/>
    <hyperlink r:id="rId29" ref="AO48"/>
    <hyperlink r:id="rId30" ref="AQ48"/>
    <hyperlink r:id="rId31" ref="AO50"/>
    <hyperlink r:id="rId32" ref="Z53"/>
    <hyperlink r:id="rId33" ref="AO54"/>
    <hyperlink r:id="rId34" ref="AO82"/>
    <hyperlink r:id="rId35" ref="AO84"/>
    <hyperlink r:id="rId36" ref="AO85"/>
    <hyperlink r:id="rId37" ref="AP85"/>
    <hyperlink r:id="rId38" ref="AO112"/>
    <hyperlink r:id="rId39" ref="AP112"/>
    <hyperlink r:id="rId40" ref="AO125"/>
    <hyperlink r:id="rId41" ref="AO126"/>
    <hyperlink r:id="rId42" ref="AP134"/>
    <hyperlink r:id="rId43" ref="AO142"/>
    <hyperlink r:id="rId44" ref="AO147"/>
    <hyperlink r:id="rId45" ref="AO158"/>
    <hyperlink r:id="rId46" ref="AO176"/>
    <hyperlink r:id="rId47" ref="AO194"/>
    <hyperlink r:id="rId48" ref="AO195"/>
    <hyperlink r:id="rId49" ref="AO199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50"/>
  <legacyDrawing r:id="rId51"/>
  <tableParts count="8"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0.89"/>
    <col customWidth="1" min="2" max="2" width="14.67"/>
    <col customWidth="1" min="3" max="3" width="15.56"/>
    <col customWidth="1" min="4" max="4" width="3.67"/>
    <col customWidth="1" min="5" max="5" width="13.11"/>
    <col customWidth="1" min="6" max="6" width="22.89"/>
    <col customWidth="1" min="7" max="7" width="18.67"/>
    <col customWidth="1" min="8" max="9" width="16.44"/>
    <col customWidth="1" min="10" max="10" width="24.11"/>
    <col customWidth="1" min="11" max="11" width="21.22"/>
    <col customWidth="1" min="12" max="12" width="19.67"/>
    <col customWidth="1" min="13" max="13" width="21.44"/>
    <col customWidth="1" min="14" max="14" width="21.22"/>
    <col customWidth="1" min="15" max="15" width="13.67"/>
    <col customWidth="1" min="16" max="16" width="18.56"/>
    <col customWidth="1" min="17" max="17" width="15.78"/>
    <col customWidth="1" min="20" max="20" width="14.78"/>
    <col customWidth="1" min="21" max="21" width="14.0"/>
    <col customWidth="1" min="22" max="22" width="15.33"/>
    <col customWidth="1" min="23" max="23" width="19.33"/>
    <col customWidth="1" min="24" max="24" width="17.11"/>
    <col customWidth="1" min="27" max="27" width="16.78"/>
    <col customWidth="1" min="28" max="28" width="14.78"/>
  </cols>
  <sheetData>
    <row r="1">
      <c r="A1" s="757" t="s">
        <v>1236</v>
      </c>
      <c r="E1" s="758" t="s">
        <v>1237</v>
      </c>
      <c r="F1" s="758" t="s">
        <v>1238</v>
      </c>
      <c r="G1" s="758" t="s">
        <v>1239</v>
      </c>
      <c r="H1" s="758" t="s">
        <v>1240</v>
      </c>
      <c r="I1" s="758"/>
    </row>
    <row r="2">
      <c r="E2" s="759" t="s">
        <v>136</v>
      </c>
      <c r="F2" s="759" t="s">
        <v>118</v>
      </c>
      <c r="G2" s="759" t="s">
        <v>119</v>
      </c>
      <c r="H2" s="759" t="s">
        <v>1241</v>
      </c>
      <c r="I2" s="759"/>
      <c r="J2" s="760" t="s">
        <v>72</v>
      </c>
      <c r="K2" s="760" t="s">
        <v>1242</v>
      </c>
      <c r="M2" s="760" t="s">
        <v>72</v>
      </c>
      <c r="N2" s="760" t="s">
        <v>1242</v>
      </c>
      <c r="P2" s="760" t="s">
        <v>87</v>
      </c>
      <c r="Q2" s="760" t="s">
        <v>1243</v>
      </c>
      <c r="T2" s="760" t="s">
        <v>88</v>
      </c>
      <c r="U2" s="760" t="s">
        <v>1243</v>
      </c>
      <c r="W2" s="760" t="s">
        <v>74</v>
      </c>
      <c r="X2" s="760" t="s">
        <v>1242</v>
      </c>
      <c r="AA2" s="558" t="s">
        <v>1244</v>
      </c>
    </row>
    <row r="3">
      <c r="E3" s="106" t="s">
        <v>250</v>
      </c>
      <c r="F3" s="106" t="s">
        <v>146</v>
      </c>
      <c r="G3" s="106" t="s">
        <v>543</v>
      </c>
      <c r="H3" s="106" t="s">
        <v>174</v>
      </c>
      <c r="I3" s="106"/>
      <c r="J3" s="760" t="s">
        <v>114</v>
      </c>
      <c r="K3" s="761">
        <v>9.899900392E9</v>
      </c>
      <c r="M3" s="760" t="s">
        <v>114</v>
      </c>
      <c r="N3" s="761">
        <v>9.899900392E9</v>
      </c>
      <c r="P3" s="760" t="s">
        <v>1184</v>
      </c>
      <c r="Q3" s="760">
        <v>1.0</v>
      </c>
      <c r="R3" s="760" t="str">
        <f t="array" ref="R3">XLOOKUP(P3,Workflow!$S$6:$S$270,Workflow!$W$6:$W$270)</f>
        <v>P073</v>
      </c>
      <c r="T3" s="760" t="s">
        <v>1184</v>
      </c>
      <c r="U3" s="760">
        <v>1.0</v>
      </c>
      <c r="V3" s="760" t="str">
        <f t="array" ref="V3">XLOOKUP(T3,Workflow!$T$6:$T$270,Workflow!$W$6:$W$270)</f>
        <v>P073</v>
      </c>
      <c r="W3" s="760" t="s">
        <v>1028</v>
      </c>
      <c r="X3" s="761">
        <v>1.538726557E9</v>
      </c>
      <c r="Y3" s="762">
        <f t="shared" ref="Y3:Y12" si="1">K81/X3*100%</f>
        <v>0.8068470654</v>
      </c>
      <c r="AA3" s="558" t="s">
        <v>31</v>
      </c>
      <c r="AB3" s="763" t="s">
        <v>1245</v>
      </c>
    </row>
    <row r="4">
      <c r="A4" s="764"/>
      <c r="B4" s="764"/>
      <c r="C4" s="764"/>
      <c r="E4" s="106" t="s">
        <v>143</v>
      </c>
      <c r="F4" s="106" t="s">
        <v>258</v>
      </c>
      <c r="G4" s="106" t="s">
        <v>182</v>
      </c>
      <c r="H4" s="106" t="s">
        <v>196</v>
      </c>
      <c r="I4" s="106"/>
      <c r="J4" s="760" t="s">
        <v>136</v>
      </c>
      <c r="K4" s="761">
        <v>1.0976511799E10</v>
      </c>
      <c r="M4" s="760" t="s">
        <v>136</v>
      </c>
      <c r="N4" s="761">
        <v>1.0976511799E10</v>
      </c>
      <c r="P4" s="765">
        <v>46067.0</v>
      </c>
      <c r="Q4" s="760">
        <v>1.0</v>
      </c>
      <c r="R4" s="760" t="str">
        <f t="array" ref="R4">XLOOKUP(P4,Workflow!$S$6:$S$270,Workflow!$W$6:$W$270)</f>
        <v>P175</v>
      </c>
      <c r="T4" s="765">
        <v>46067.0</v>
      </c>
      <c r="U4" s="760">
        <v>1.0</v>
      </c>
      <c r="V4" s="760" t="str">
        <f t="array" ref="V4">XLOOKUP(T4,Workflow!$T$6:$T$270,Workflow!$W$6:$W$270)</f>
        <v>P175</v>
      </c>
      <c r="W4" s="760" t="s">
        <v>170</v>
      </c>
      <c r="X4" s="761">
        <v>5.990341692E9</v>
      </c>
      <c r="Y4" s="762">
        <f t="shared" si="1"/>
        <v>0.1679841122</v>
      </c>
      <c r="AA4" s="558" t="s">
        <v>1246</v>
      </c>
      <c r="AB4" s="763">
        <v>3.0E9</v>
      </c>
    </row>
    <row r="5">
      <c r="A5" s="766" t="s">
        <v>1247</v>
      </c>
      <c r="B5" s="766" t="s">
        <v>1248</v>
      </c>
      <c r="C5" s="766" t="s">
        <v>1249</v>
      </c>
      <c r="E5" s="106" t="s">
        <v>114</v>
      </c>
      <c r="F5" s="106" t="s">
        <v>155</v>
      </c>
      <c r="G5" s="106" t="s">
        <v>127</v>
      </c>
      <c r="H5" s="106" t="s">
        <v>209</v>
      </c>
      <c r="I5" s="106"/>
      <c r="J5" s="760" t="s">
        <v>652</v>
      </c>
      <c r="K5" s="761">
        <v>1.562303761E9</v>
      </c>
      <c r="M5" s="760" t="s">
        <v>652</v>
      </c>
      <c r="N5" s="761">
        <v>1.562303761E9</v>
      </c>
      <c r="P5" s="767">
        <v>46042.0</v>
      </c>
      <c r="Q5" s="760">
        <v>1.0</v>
      </c>
      <c r="R5" s="760" t="str">
        <f t="array" ref="R5">XLOOKUP(P5,Workflow!$S$6:$S$270,Workflow!$W$6:$W$270)</f>
        <v>P221</v>
      </c>
      <c r="T5" s="767">
        <v>46042.0</v>
      </c>
      <c r="U5" s="760">
        <v>1.0</v>
      </c>
      <c r="V5" s="760" t="str">
        <f t="array" ref="V5">XLOOKUP(T5,Workflow!$T$6:$T$270,Workflow!$W$6:$W$270)</f>
        <v>P221</v>
      </c>
      <c r="W5" s="760" t="s">
        <v>1136</v>
      </c>
      <c r="X5" s="761">
        <v>2.26594E8</v>
      </c>
      <c r="Y5" s="762">
        <f t="shared" si="1"/>
        <v>1</v>
      </c>
      <c r="AA5" s="558" t="s">
        <v>1250</v>
      </c>
      <c r="AB5" s="763">
        <v>3.0E9</v>
      </c>
    </row>
    <row r="6">
      <c r="A6" s="768">
        <v>1001.0</v>
      </c>
      <c r="B6" s="769" t="s">
        <v>1136</v>
      </c>
      <c r="C6" s="770" t="s">
        <v>1251</v>
      </c>
      <c r="E6" s="106" t="s">
        <v>652</v>
      </c>
      <c r="F6" s="106" t="s">
        <v>644</v>
      </c>
      <c r="G6" s="106" t="s">
        <v>261</v>
      </c>
      <c r="H6" s="106" t="s">
        <v>1252</v>
      </c>
      <c r="I6" s="106"/>
      <c r="J6" s="760" t="s">
        <v>143</v>
      </c>
      <c r="K6" s="761">
        <v>2.69868793E9</v>
      </c>
      <c r="L6" s="761">
        <f>AVERAGE(K3:K8)</f>
        <v>5252603314</v>
      </c>
      <c r="M6" s="760" t="s">
        <v>143</v>
      </c>
      <c r="N6" s="761">
        <v>2.69868793E9</v>
      </c>
      <c r="P6" s="767">
        <v>46023.0</v>
      </c>
      <c r="Q6" s="760">
        <v>1.0</v>
      </c>
      <c r="R6" s="760" t="str">
        <f t="array" ref="R6">XLOOKUP(P6,Workflow!$S$6:$S$270,Workflow!$W$6:$W$270)</f>
        <v>P244</v>
      </c>
      <c r="T6" s="767">
        <v>46023.0</v>
      </c>
      <c r="U6" s="760">
        <v>1.0</v>
      </c>
      <c r="V6" s="760" t="str">
        <f t="array" ref="V6">XLOOKUP(T6,Workflow!$T$6:$T$270,Workflow!$W$6:$W$270)</f>
        <v>P244</v>
      </c>
      <c r="W6" s="760" t="s">
        <v>115</v>
      </c>
      <c r="X6" s="761">
        <v>1.5300327586E10</v>
      </c>
      <c r="Y6" s="762">
        <f t="shared" si="1"/>
        <v>0.4093953402</v>
      </c>
      <c r="AA6" s="558" t="s">
        <v>1253</v>
      </c>
      <c r="AB6" s="763">
        <v>2.0E9</v>
      </c>
    </row>
    <row r="7">
      <c r="A7" s="768">
        <v>1002.0</v>
      </c>
      <c r="B7" s="769" t="s">
        <v>277</v>
      </c>
      <c r="C7" s="770" t="s">
        <v>1254</v>
      </c>
      <c r="E7" s="106" t="s">
        <v>52</v>
      </c>
      <c r="F7" s="106"/>
      <c r="G7" s="106" t="s">
        <v>345</v>
      </c>
      <c r="H7" s="106" t="s">
        <v>138</v>
      </c>
      <c r="I7" s="106"/>
      <c r="J7" s="760" t="s">
        <v>250</v>
      </c>
      <c r="K7" s="761">
        <v>6.246172201E9</v>
      </c>
      <c r="M7" s="760" t="s">
        <v>250</v>
      </c>
      <c r="N7" s="761">
        <v>6.246172201E9</v>
      </c>
      <c r="P7" s="765">
        <v>46017.0</v>
      </c>
      <c r="Q7" s="760">
        <v>1.0</v>
      </c>
      <c r="R7" s="760" t="str">
        <f t="array" ref="R7">XLOOKUP(P7,Workflow!$S$6:$S$270,Workflow!$W$6:$W$270)</f>
        <v>P247</v>
      </c>
      <c r="T7" s="765">
        <v>46019.0</v>
      </c>
      <c r="U7" s="760">
        <v>1.0</v>
      </c>
      <c r="V7" s="760" t="str">
        <f t="array" ref="V7">XLOOKUP(T7,Workflow!$T$6:$T$270,Workflow!$W$6:$W$270)</f>
        <v>P247</v>
      </c>
      <c r="W7" s="760" t="s">
        <v>277</v>
      </c>
      <c r="X7" s="761">
        <v>1.0280649E9</v>
      </c>
      <c r="Y7" s="762">
        <f t="shared" si="1"/>
        <v>0.05105222443</v>
      </c>
      <c r="AA7" s="558" t="s">
        <v>1255</v>
      </c>
      <c r="AB7" s="763">
        <v>1.0E9</v>
      </c>
    </row>
    <row r="8">
      <c r="A8" s="768">
        <v>1003.0</v>
      </c>
      <c r="B8" s="769" t="s">
        <v>115</v>
      </c>
      <c r="C8" s="770" t="s">
        <v>1256</v>
      </c>
      <c r="E8" s="106" t="s">
        <v>155</v>
      </c>
      <c r="F8" s="106"/>
      <c r="G8" s="106" t="s">
        <v>155</v>
      </c>
      <c r="H8" s="106" t="s">
        <v>1257</v>
      </c>
      <c r="I8" s="106"/>
      <c r="J8" s="760" t="s">
        <v>52</v>
      </c>
      <c r="K8" s="761">
        <v>1.320438E8</v>
      </c>
      <c r="M8" s="760" t="s">
        <v>52</v>
      </c>
      <c r="N8" s="761">
        <v>1.320438E8</v>
      </c>
      <c r="P8" s="765">
        <v>46014.0</v>
      </c>
      <c r="Q8" s="760">
        <v>1.0</v>
      </c>
      <c r="R8" s="760" t="str">
        <f t="array" ref="R8">XLOOKUP(P8,Workflow!$S$6:$S$270,Workflow!$W$6:$W$270)</f>
        <v>P248</v>
      </c>
      <c r="T8" s="765">
        <v>46015.0</v>
      </c>
      <c r="U8" s="760">
        <v>1.0</v>
      </c>
      <c r="V8" s="760" t="str">
        <f t="array" ref="V8">XLOOKUP(T8,Workflow!$T$6:$T$270,Workflow!$W$6:$W$270)</f>
        <v>P248</v>
      </c>
      <c r="W8" s="760" t="s">
        <v>256</v>
      </c>
      <c r="X8" s="761">
        <v>3.71E7</v>
      </c>
      <c r="Y8" s="762">
        <f t="shared" si="1"/>
        <v>1</v>
      </c>
      <c r="AA8" s="558" t="s">
        <v>1258</v>
      </c>
      <c r="AB8" s="763">
        <v>1.0E9</v>
      </c>
    </row>
    <row r="9">
      <c r="A9" s="768">
        <v>1004.0</v>
      </c>
      <c r="B9" s="769" t="s">
        <v>1259</v>
      </c>
      <c r="C9" s="770" t="s">
        <v>1260</v>
      </c>
      <c r="E9" s="103"/>
      <c r="G9" s="106" t="s">
        <v>443</v>
      </c>
      <c r="H9" s="106" t="s">
        <v>182</v>
      </c>
      <c r="I9" s="106"/>
      <c r="J9" s="760" t="s">
        <v>1261</v>
      </c>
      <c r="K9" s="761">
        <v>3.1515619883E10</v>
      </c>
      <c r="M9" s="760" t="s">
        <v>1261</v>
      </c>
      <c r="N9" s="761">
        <v>3.1515619883E10</v>
      </c>
      <c r="P9" s="765">
        <v>46013.0</v>
      </c>
      <c r="Q9" s="760">
        <v>1.0</v>
      </c>
      <c r="R9" s="760" t="str">
        <f t="array" ref="R9">XLOOKUP(P9,Workflow!$S$6:$S$270,Workflow!$W$6:$W$270)</f>
        <v>P258</v>
      </c>
      <c r="T9" s="765">
        <v>46014.0</v>
      </c>
      <c r="U9" s="760">
        <v>1.0</v>
      </c>
      <c r="V9" s="760" t="str">
        <f t="array" ref="V9">XLOOKUP(T9,Workflow!$T$6:$T$270,Workflow!$W$6:$W$270)</f>
        <v>P258</v>
      </c>
      <c r="W9" s="760" t="s">
        <v>357</v>
      </c>
      <c r="X9" s="761">
        <v>8.3961808E8</v>
      </c>
      <c r="Y9" s="762">
        <f t="shared" si="1"/>
        <v>0.8494330899</v>
      </c>
      <c r="AA9" s="558" t="s">
        <v>1262</v>
      </c>
      <c r="AB9" s="763">
        <v>8.0E8</v>
      </c>
    </row>
    <row r="10">
      <c r="A10" s="768">
        <v>1005.0</v>
      </c>
      <c r="B10" s="769" t="s">
        <v>256</v>
      </c>
      <c r="C10" s="770" t="s">
        <v>1263</v>
      </c>
      <c r="E10" s="103"/>
      <c r="G10" s="103"/>
      <c r="H10" s="106" t="s">
        <v>261</v>
      </c>
      <c r="I10" s="106"/>
      <c r="N10" s="771"/>
      <c r="P10" s="765">
        <v>46010.0</v>
      </c>
      <c r="Q10" s="760">
        <v>2.0</v>
      </c>
      <c r="R10" s="760" t="str">
        <f t="array" ref="R10">XLOOKUP(P10,Workflow!$S$6:$S$270,Workflow!$W$6:$W$270)</f>
        <v>P253</v>
      </c>
      <c r="T10" s="765">
        <v>46010.0</v>
      </c>
      <c r="U10" s="760">
        <v>2.0</v>
      </c>
      <c r="V10" s="760" t="str">
        <f t="array" ref="V10">XLOOKUP(T10,Workflow!$T$6:$T$270,Workflow!$W$6:$W$270)</f>
        <v>P253</v>
      </c>
      <c r="W10" s="760" t="s">
        <v>764</v>
      </c>
      <c r="X10" s="761">
        <v>1.052502111E9</v>
      </c>
      <c r="Y10" s="762">
        <f t="shared" si="1"/>
        <v>0.6080626863</v>
      </c>
      <c r="AA10" s="558" t="s">
        <v>1264</v>
      </c>
      <c r="AB10" s="763">
        <v>5.0E8</v>
      </c>
    </row>
    <row r="11">
      <c r="A11" s="768">
        <v>1006.0</v>
      </c>
      <c r="B11" s="769" t="s">
        <v>170</v>
      </c>
      <c r="C11" s="770" t="s">
        <v>1265</v>
      </c>
      <c r="E11" s="103"/>
      <c r="G11" s="106"/>
      <c r="H11" s="106" t="s">
        <v>128</v>
      </c>
      <c r="I11" s="106"/>
      <c r="J11" s="760" t="s">
        <v>93</v>
      </c>
      <c r="K11" s="760" t="s">
        <v>1243</v>
      </c>
      <c r="N11" s="771"/>
      <c r="P11" s="765">
        <v>46009.0</v>
      </c>
      <c r="Q11" s="760">
        <v>1.0</v>
      </c>
      <c r="R11" s="760" t="str">
        <f t="array" ref="R11">XLOOKUP(P11,Workflow!$S$6:$S$270,Workflow!$W$6:$W$270)</f>
        <v>P245</v>
      </c>
      <c r="T11" s="765">
        <v>46009.0</v>
      </c>
      <c r="U11" s="760">
        <v>1.0</v>
      </c>
      <c r="V11" s="760" t="str">
        <f t="array" ref="V11">XLOOKUP(T11,Workflow!$T$6:$T$270,Workflow!$W$6:$W$270)</f>
        <v>P245</v>
      </c>
      <c r="W11" s="760" t="s">
        <v>153</v>
      </c>
      <c r="X11" s="761">
        <v>4.828612312E9</v>
      </c>
      <c r="Y11" s="762">
        <f t="shared" si="1"/>
        <v>0.02540887776</v>
      </c>
      <c r="AA11" s="558" t="s">
        <v>1266</v>
      </c>
      <c r="AB11" s="763">
        <v>5.0E8</v>
      </c>
    </row>
    <row r="12">
      <c r="A12" s="768">
        <v>1007.0</v>
      </c>
      <c r="B12" s="769" t="s">
        <v>1028</v>
      </c>
      <c r="C12" s="770" t="s">
        <v>1267</v>
      </c>
      <c r="E12" s="103"/>
      <c r="G12" s="103"/>
      <c r="H12" s="106"/>
      <c r="I12" s="106"/>
      <c r="J12" s="760" t="s">
        <v>29</v>
      </c>
      <c r="K12" s="760">
        <v>142.0</v>
      </c>
      <c r="N12" s="771"/>
      <c r="P12" s="765">
        <v>46006.0</v>
      </c>
      <c r="Q12" s="760">
        <v>1.0</v>
      </c>
      <c r="R12" s="760" t="str">
        <f t="array" ref="R12">XLOOKUP(P12,Workflow!$S$6:$S$270,Workflow!$W$6:$W$270)</f>
        <v>P256</v>
      </c>
      <c r="T12" s="765">
        <v>46006.0</v>
      </c>
      <c r="U12" s="760">
        <v>1.0</v>
      </c>
      <c r="V12" s="760" t="str">
        <f t="array" ref="V12">XLOOKUP(T12,Workflow!$T$6:$T$270,Workflow!$W$6:$W$270)</f>
        <v>P256</v>
      </c>
      <c r="W12" s="760" t="s">
        <v>162</v>
      </c>
      <c r="X12" s="761">
        <v>4.72622845E8</v>
      </c>
      <c r="Y12" s="762">
        <f t="shared" si="1"/>
        <v>0.5707847343</v>
      </c>
      <c r="AA12" s="558" t="s">
        <v>1268</v>
      </c>
      <c r="AB12" s="763">
        <v>2.0E8</v>
      </c>
    </row>
    <row r="13">
      <c r="A13" s="768">
        <v>1008.0</v>
      </c>
      <c r="B13" s="769" t="s">
        <v>153</v>
      </c>
      <c r="C13" s="770" t="s">
        <v>1269</v>
      </c>
      <c r="E13" s="103"/>
      <c r="G13" s="103"/>
      <c r="H13" s="103"/>
      <c r="I13" s="103"/>
      <c r="J13" s="760" t="s">
        <v>132</v>
      </c>
      <c r="K13" s="760">
        <v>122.0</v>
      </c>
      <c r="M13" s="760" t="s">
        <v>74</v>
      </c>
      <c r="N13" s="760" t="s">
        <v>1243</v>
      </c>
      <c r="P13" s="765">
        <v>46004.0</v>
      </c>
      <c r="Q13" s="760">
        <v>1.0</v>
      </c>
      <c r="R13" s="760" t="str">
        <f t="array" ref="R13">XLOOKUP(P13,Workflow!$S$6:$S$270,Workflow!$W$6:$W$270)</f>
        <v>P254</v>
      </c>
      <c r="T13" s="765">
        <v>46005.0</v>
      </c>
      <c r="U13" s="760">
        <v>1.0</v>
      </c>
      <c r="V13" s="760" t="str">
        <f t="array" ref="V13">XLOOKUP(T13,Workflow!$T$6:$T$270,Workflow!$W$6:$W$270)</f>
        <v>P242</v>
      </c>
      <c r="W13" s="760" t="s">
        <v>287</v>
      </c>
      <c r="X13" s="761">
        <v>2.011098E8</v>
      </c>
      <c r="Y13" s="762">
        <f t="shared" ref="Y13:Y14" si="2">0/X13*100%</f>
        <v>0</v>
      </c>
    </row>
    <row r="14">
      <c r="A14" s="768">
        <v>1009.0</v>
      </c>
      <c r="B14" s="769" t="s">
        <v>162</v>
      </c>
      <c r="C14" s="770" t="s">
        <v>1270</v>
      </c>
      <c r="E14" s="103"/>
      <c r="G14" s="103"/>
      <c r="H14" s="103"/>
      <c r="I14" s="103"/>
      <c r="J14" s="760" t="s">
        <v>1261</v>
      </c>
      <c r="K14" s="760">
        <v>264.0</v>
      </c>
      <c r="M14" s="760" t="s">
        <v>1028</v>
      </c>
      <c r="N14" s="760">
        <v>5.0</v>
      </c>
      <c r="P14" s="765">
        <v>46003.0</v>
      </c>
      <c r="Q14" s="760">
        <v>5.0</v>
      </c>
      <c r="R14" s="760" t="str">
        <f t="array" ref="R14">XLOOKUP(P14,Workflow!$S$6:$S$270,Workflow!$W$6:$W$270)</f>
        <v>P230</v>
      </c>
      <c r="T14" s="765">
        <v>46004.0</v>
      </c>
      <c r="U14" s="760">
        <v>2.0</v>
      </c>
      <c r="V14" s="760" t="str">
        <f t="array" ref="V14">XLOOKUP(T14,Workflow!$T$6:$T$270,Workflow!$W$6:$W$270)</f>
        <v>P249</v>
      </c>
      <c r="W14" s="760" t="s">
        <v>1261</v>
      </c>
      <c r="X14" s="761">
        <v>3.1515619883E10</v>
      </c>
      <c r="Y14" s="762">
        <f t="shared" si="2"/>
        <v>0</v>
      </c>
    </row>
    <row r="15">
      <c r="A15" s="768">
        <v>1010.0</v>
      </c>
      <c r="B15" s="769" t="s">
        <v>764</v>
      </c>
      <c r="C15" s="770" t="s">
        <v>1271</v>
      </c>
      <c r="E15" s="103"/>
      <c r="G15" s="103"/>
      <c r="H15" s="103"/>
      <c r="I15" s="103"/>
      <c r="M15" s="760" t="s">
        <v>170</v>
      </c>
      <c r="N15" s="760">
        <v>31.0</v>
      </c>
      <c r="P15" s="765">
        <v>46002.0</v>
      </c>
      <c r="Q15" s="760">
        <v>1.0</v>
      </c>
      <c r="R15" s="760" t="str">
        <f t="array" ref="R15">XLOOKUP(P15,Workflow!$S$6:$S$270,Workflow!$W$6:$W$270)</f>
        <v>P249</v>
      </c>
      <c r="T15" s="765">
        <v>46003.0</v>
      </c>
      <c r="U15" s="760">
        <v>3.0</v>
      </c>
      <c r="V15" s="760" t="str">
        <f t="array" ref="V15">XLOOKUP(T15,Workflow!$T$6:$T$270,Workflow!$W$6:$W$270)</f>
        <v>P230</v>
      </c>
      <c r="X15" s="761"/>
    </row>
    <row r="16">
      <c r="A16" s="768">
        <v>1011.0</v>
      </c>
      <c r="B16" s="769" t="s">
        <v>287</v>
      </c>
      <c r="C16" s="770" t="s">
        <v>1272</v>
      </c>
      <c r="E16" s="103"/>
      <c r="G16" s="103"/>
      <c r="H16" s="103"/>
      <c r="I16" s="103"/>
      <c r="M16" s="760" t="s">
        <v>1136</v>
      </c>
      <c r="N16" s="760">
        <v>1.0</v>
      </c>
      <c r="P16" s="765">
        <v>46000.0</v>
      </c>
      <c r="Q16" s="760">
        <v>1.0</v>
      </c>
      <c r="R16" s="760" t="str">
        <f t="array" ref="R16">XLOOKUP(P16,Workflow!$S$6:$S$270,Workflow!$W$6:$W$270)</f>
        <v>P255</v>
      </c>
      <c r="T16" s="765">
        <v>46001.0</v>
      </c>
      <c r="U16" s="760">
        <v>1.0</v>
      </c>
      <c r="V16" s="760" t="str">
        <f t="array" ref="V16">XLOOKUP(T16,Workflow!$T$6:$T$270,Workflow!$W$6:$W$270)</f>
        <v>P234</v>
      </c>
    </row>
    <row r="17">
      <c r="A17" s="768">
        <v>1012.0</v>
      </c>
      <c r="B17" s="769" t="s">
        <v>357</v>
      </c>
      <c r="C17" s="770" t="s">
        <v>1273</v>
      </c>
      <c r="E17" s="103"/>
      <c r="G17" s="103"/>
      <c r="H17" s="103"/>
      <c r="I17" s="103"/>
      <c r="M17" s="760" t="s">
        <v>115</v>
      </c>
      <c r="N17" s="760">
        <v>181.0</v>
      </c>
      <c r="P17" s="765">
        <v>45999.0</v>
      </c>
      <c r="Q17" s="760">
        <v>2.0</v>
      </c>
      <c r="R17" s="760" t="str">
        <f t="array" ref="R17">XLOOKUP(P17,Workflow!$S$6:$S$270,Workflow!$W$6:$W$270)</f>
        <v>P224</v>
      </c>
      <c r="T17" s="765">
        <v>46000.0</v>
      </c>
      <c r="U17" s="760">
        <v>1.0</v>
      </c>
      <c r="V17" s="760" t="str">
        <f t="array" ref="V17">XLOOKUP(T17,Workflow!$T$6:$T$270,Workflow!$W$6:$W$270)</f>
        <v>P255</v>
      </c>
    </row>
    <row r="18">
      <c r="A18" s="768">
        <v>1013.0</v>
      </c>
      <c r="B18" s="769" t="s">
        <v>116</v>
      </c>
      <c r="C18" s="770" t="s">
        <v>1274</v>
      </c>
      <c r="E18" s="103"/>
      <c r="G18" s="103"/>
      <c r="H18" s="103"/>
      <c r="I18" s="103"/>
      <c r="M18" s="760" t="s">
        <v>277</v>
      </c>
      <c r="N18" s="760">
        <v>3.0</v>
      </c>
      <c r="P18" s="765">
        <v>45996.0</v>
      </c>
      <c r="Q18" s="760">
        <v>3.0</v>
      </c>
      <c r="R18" s="760" t="str">
        <f t="array" ref="R18">XLOOKUP(P18,Workflow!$S$6:$S$270,Workflow!$W$6:$W$270)</f>
        <v>P219</v>
      </c>
      <c r="S18" s="772"/>
      <c r="T18" s="765">
        <v>45999.0</v>
      </c>
      <c r="U18" s="760">
        <v>1.0</v>
      </c>
      <c r="V18" s="760" t="str">
        <f t="array" ref="V18">XLOOKUP(T18,Workflow!$T$6:$T$270,Workflow!$W$6:$W$270)</f>
        <v>P224</v>
      </c>
    </row>
    <row r="19">
      <c r="A19" s="773"/>
      <c r="B19" s="773"/>
      <c r="C19" s="773"/>
      <c r="E19" s="103"/>
      <c r="G19" s="103"/>
      <c r="H19" s="103"/>
      <c r="I19" s="103"/>
      <c r="M19" s="760" t="s">
        <v>256</v>
      </c>
      <c r="N19" s="760">
        <v>1.0</v>
      </c>
      <c r="P19" s="765">
        <v>45994.0</v>
      </c>
      <c r="Q19" s="760">
        <v>2.0</v>
      </c>
      <c r="R19" s="760" t="str">
        <f t="array" ref="R19">XLOOKUP(P19,Workflow!$S$6:$S$270,Workflow!$W$6:$W$270)</f>
        <v>P176</v>
      </c>
      <c r="T19" s="765">
        <v>45996.0</v>
      </c>
      <c r="U19" s="760">
        <v>3.0</v>
      </c>
      <c r="V19" s="760" t="str">
        <f t="array" ref="V19">XLOOKUP(T19,Workflow!$T$6:$T$270,Workflow!$W$6:$W$270)</f>
        <v>P219</v>
      </c>
      <c r="Y19" s="762">
        <f>K81/X19*100%</f>
        <v>1.551896259</v>
      </c>
    </row>
    <row r="20">
      <c r="A20" s="773"/>
      <c r="B20" s="773"/>
      <c r="C20" s="773"/>
      <c r="E20" s="762">
        <f>L70/L71*100%</f>
        <v>0.3355004046</v>
      </c>
      <c r="G20" s="103"/>
      <c r="H20" s="103"/>
      <c r="I20" s="103"/>
      <c r="M20" s="760" t="s">
        <v>357</v>
      </c>
      <c r="N20" s="760">
        <v>11.0</v>
      </c>
      <c r="P20" s="765">
        <v>45992.0</v>
      </c>
      <c r="Q20" s="760">
        <v>2.0</v>
      </c>
      <c r="R20" s="760" t="str">
        <f t="array" ref="R20">XLOOKUP(P20,Workflow!$S$6:$S$270,Workflow!$W$6:$W$270)</f>
        <v>P204</v>
      </c>
      <c r="T20" s="765">
        <v>45995.0</v>
      </c>
      <c r="U20" s="760">
        <v>1.0</v>
      </c>
      <c r="V20" s="760" t="str">
        <f t="array" ref="V20">XLOOKUP(T20,Workflow!$T$6:$T$270,Workflow!$W$6:$W$270)</f>
        <v>P176</v>
      </c>
      <c r="Y20" s="762">
        <f>K84/X20*100%</f>
        <v>2.087960939</v>
      </c>
    </row>
    <row r="21">
      <c r="A21" s="773"/>
      <c r="B21" s="773"/>
      <c r="C21" s="773"/>
      <c r="E21" s="762">
        <f>K46/K47*100%</f>
        <v>0.4621212121</v>
      </c>
      <c r="G21" s="103"/>
      <c r="H21" s="103"/>
      <c r="I21" s="103"/>
      <c r="M21" s="760" t="s">
        <v>764</v>
      </c>
      <c r="N21" s="760">
        <v>5.0</v>
      </c>
      <c r="P21" s="767">
        <v>45990.0</v>
      </c>
      <c r="Q21" s="760">
        <v>2.0</v>
      </c>
      <c r="R21" s="760" t="str">
        <f t="array" ref="R21">XLOOKUP(P21,Workflow!$S$6:$S$270,Workflow!$W$6:$W$270)</f>
        <v>P220</v>
      </c>
      <c r="T21" s="765">
        <v>45994.0</v>
      </c>
      <c r="U21" s="760">
        <v>1.0</v>
      </c>
      <c r="V21" s="760" t="str">
        <f t="array" ref="V21">XLOOKUP(T21,Workflow!$T$6:$T$270,Workflow!$W$6:$W$270)</f>
        <v>P251</v>
      </c>
      <c r="Y21" s="762">
        <f t="shared" ref="Y21:Y22" si="3">K87/X21*100%</f>
        <v>0.71319938</v>
      </c>
    </row>
    <row r="22">
      <c r="A22" s="773"/>
      <c r="B22" s="773"/>
      <c r="C22" s="773"/>
      <c r="E22" s="103"/>
      <c r="G22" s="103"/>
      <c r="H22" s="103"/>
      <c r="I22" s="103"/>
      <c r="M22" s="760" t="s">
        <v>153</v>
      </c>
      <c r="N22" s="760">
        <v>19.0</v>
      </c>
      <c r="P22" s="767">
        <v>45989.0</v>
      </c>
      <c r="Q22" s="760">
        <v>3.0</v>
      </c>
      <c r="R22" s="760" t="str">
        <f t="array" ref="R22">XLOOKUP(P22,Workflow!$S$6:$S$270,Workflow!$W$6:$W$270)</f>
        <v>P215</v>
      </c>
      <c r="T22" s="765">
        <v>45993.0</v>
      </c>
      <c r="U22" s="760">
        <v>1.0</v>
      </c>
      <c r="V22" s="760" t="str">
        <f t="array" ref="V22">XLOOKUP(T22,Workflow!$T$6:$T$270,Workflow!$W$6:$W$270)</f>
        <v>P246</v>
      </c>
      <c r="Y22" s="762">
        <f t="shared" si="3"/>
        <v>3.199936305</v>
      </c>
    </row>
    <row r="23">
      <c r="A23" s="773"/>
      <c r="B23" s="773"/>
      <c r="C23" s="773"/>
      <c r="E23" s="103"/>
      <c r="G23" s="103"/>
      <c r="H23" s="103"/>
      <c r="I23" s="103"/>
      <c r="J23" s="760" t="s">
        <v>106</v>
      </c>
      <c r="K23" s="760" t="s">
        <v>1243</v>
      </c>
      <c r="M23" s="760" t="s">
        <v>162</v>
      </c>
      <c r="N23" s="760">
        <v>3.0</v>
      </c>
      <c r="P23" s="765">
        <v>45988.0</v>
      </c>
      <c r="Q23" s="760">
        <v>2.0</v>
      </c>
      <c r="R23" s="760" t="str">
        <f t="array" ref="R23">XLOOKUP(P23,Workflow!$S$6:$S$270,Workflow!$W$6:$W$270)</f>
        <v>P134</v>
      </c>
      <c r="T23" s="765">
        <v>45992.0</v>
      </c>
      <c r="U23" s="760">
        <v>1.0</v>
      </c>
      <c r="V23" s="760" t="str">
        <f t="array" ref="V23">XLOOKUP(T23,Workflow!$T$6:$T$270,Workflow!$W$6:$W$270)</f>
        <v>P204</v>
      </c>
      <c r="Y23" s="762">
        <f>K82/X23*100%</f>
        <v>0.3354274103</v>
      </c>
    </row>
    <row r="24">
      <c r="A24" s="773"/>
      <c r="B24" s="773"/>
      <c r="C24" s="773"/>
      <c r="E24" s="103"/>
      <c r="G24" s="103"/>
      <c r="H24" s="103"/>
      <c r="I24" s="103"/>
      <c r="J24" s="760" t="s">
        <v>30</v>
      </c>
      <c r="K24" s="760">
        <v>1.0</v>
      </c>
      <c r="M24" s="760" t="s">
        <v>287</v>
      </c>
      <c r="N24" s="760">
        <v>4.0</v>
      </c>
      <c r="P24" s="765">
        <v>45987.0</v>
      </c>
      <c r="Q24" s="760">
        <v>1.0</v>
      </c>
      <c r="R24" s="760" t="str">
        <f t="array" ref="R24">XLOOKUP(P24,Workflow!$S$6:$S$270,Workflow!$W$6:$W$270)</f>
        <v>P259</v>
      </c>
      <c r="T24" s="767">
        <v>45991.0</v>
      </c>
      <c r="U24" s="760">
        <v>3.0</v>
      </c>
      <c r="V24" s="760" t="str">
        <f t="array" ref="V24">XLOOKUP(T24,Workflow!$T$6:$T$270,Workflow!$W$6:$W$270)</f>
        <v>P215</v>
      </c>
      <c r="Y24" s="762">
        <f>0/X24*100%</f>
        <v>0</v>
      </c>
    </row>
    <row r="25">
      <c r="A25" s="773"/>
      <c r="B25" s="773"/>
      <c r="C25" s="773"/>
      <c r="E25" s="103"/>
      <c r="G25" s="103"/>
      <c r="H25" s="103"/>
      <c r="I25" s="103"/>
      <c r="J25" s="760" t="s">
        <v>1064</v>
      </c>
      <c r="K25" s="760">
        <v>12.0</v>
      </c>
      <c r="M25" s="760" t="s">
        <v>1261</v>
      </c>
      <c r="N25" s="760">
        <v>264.0</v>
      </c>
      <c r="P25" s="765">
        <v>45986.0</v>
      </c>
      <c r="Q25" s="760">
        <v>1.0</v>
      </c>
      <c r="R25" s="760" t="str">
        <f t="array" ref="R25">XLOOKUP(P25,Workflow!$S$6:$S$270,Workflow!$W$6:$W$270)</f>
        <v>P127</v>
      </c>
      <c r="T25" s="767">
        <v>45990.0</v>
      </c>
      <c r="U25" s="760">
        <v>1.0</v>
      </c>
      <c r="V25" s="760" t="str">
        <f t="array" ref="V25">XLOOKUP(T25,Workflow!$T$6:$T$270,Workflow!$W$6:$W$270)</f>
        <v>P220</v>
      </c>
      <c r="Y25" s="762">
        <f>K86/X25*100%</f>
        <v>0.01855</v>
      </c>
    </row>
    <row r="26">
      <c r="A26" s="773"/>
      <c r="B26" s="773"/>
      <c r="C26" s="773"/>
      <c r="E26" s="103"/>
      <c r="G26" s="103"/>
      <c r="H26" s="103"/>
      <c r="I26" s="103"/>
      <c r="J26" s="760" t="s">
        <v>134</v>
      </c>
      <c r="K26" s="760">
        <v>103.0</v>
      </c>
      <c r="P26" s="767">
        <v>45983.0</v>
      </c>
      <c r="Q26" s="760">
        <v>3.0</v>
      </c>
      <c r="R26" s="760" t="str">
        <f t="array" ref="R26">XLOOKUP(P26,Workflow!$S$6:$S$270,Workflow!$W$6:$W$270)</f>
        <v>P212</v>
      </c>
      <c r="T26" s="765">
        <v>45989.0</v>
      </c>
      <c r="U26" s="760">
        <v>1.0</v>
      </c>
      <c r="V26" s="760" t="str">
        <f t="array" ref="V26">XLOOKUP(T26,Workflow!$T$6:$T$270,Workflow!$W$6:$W$270)</f>
        <v>P239</v>
      </c>
      <c r="Y26" s="762">
        <f t="shared" ref="Y26:Y27" si="4">K89/X26*100%</f>
        <v>0.12268962</v>
      </c>
    </row>
    <row r="27">
      <c r="A27" s="773"/>
      <c r="B27" s="773"/>
      <c r="C27" s="773"/>
      <c r="E27" s="103"/>
      <c r="G27" s="103"/>
      <c r="H27" s="103"/>
      <c r="I27" s="103"/>
      <c r="J27" s="760" t="s">
        <v>1261</v>
      </c>
      <c r="K27" s="760">
        <v>116.0</v>
      </c>
      <c r="M27" s="760" t="s">
        <v>95</v>
      </c>
      <c r="N27" s="760" t="s">
        <v>1243</v>
      </c>
      <c r="P27" s="765">
        <v>45982.0</v>
      </c>
      <c r="Q27" s="760">
        <v>5.0</v>
      </c>
      <c r="R27" s="760" t="str">
        <f t="array" ref="R27">XLOOKUP(P27,Workflow!$S$6:$S$270,Workflow!$W$6:$W$270)</f>
        <v>P185</v>
      </c>
      <c r="T27" s="765">
        <v>45988.0</v>
      </c>
      <c r="U27" s="760">
        <v>2.0</v>
      </c>
      <c r="V27" s="760" t="str">
        <f t="array" ref="V27">XLOOKUP(T27,Workflow!$T$6:$T$270,Workflow!$W$6:$W$270)</f>
        <v>P134</v>
      </c>
      <c r="Y27" s="762">
        <f t="shared" si="4"/>
        <v>0.53953181</v>
      </c>
    </row>
    <row r="28">
      <c r="A28" s="773"/>
      <c r="B28" s="773"/>
      <c r="C28" s="773"/>
      <c r="E28" s="103"/>
      <c r="G28" s="103"/>
      <c r="H28" s="103"/>
      <c r="I28" s="103"/>
      <c r="M28" s="760"/>
      <c r="N28" s="760">
        <v>181.0</v>
      </c>
      <c r="P28" s="765">
        <v>45980.0</v>
      </c>
      <c r="Q28" s="760">
        <v>1.0</v>
      </c>
      <c r="R28" s="760" t="str">
        <f t="array" ref="R28">XLOOKUP(P28,Workflow!$S$6:$S$270,Workflow!$W$6:$W$270)</f>
        <v>P207</v>
      </c>
      <c r="T28" s="765">
        <v>45987.0</v>
      </c>
      <c r="U28" s="760">
        <v>1.0</v>
      </c>
      <c r="V28" s="760" t="str">
        <f t="array" ref="V28">XLOOKUP(T28,Workflow!$T$6:$T$270,Workflow!$W$6:$W$270)</f>
        <v>P259</v>
      </c>
      <c r="Y28" s="762">
        <f>K89/X28*100%</f>
        <v>0.010224135</v>
      </c>
    </row>
    <row r="29">
      <c r="A29" s="773"/>
      <c r="B29" s="773"/>
      <c r="C29" s="773"/>
      <c r="E29" s="103"/>
      <c r="G29" s="103"/>
      <c r="H29" s="103"/>
      <c r="I29" s="103"/>
      <c r="M29" s="760" t="s">
        <v>133</v>
      </c>
      <c r="N29" s="760">
        <v>37.0</v>
      </c>
      <c r="P29" s="765">
        <v>45975.0</v>
      </c>
      <c r="Q29" s="760">
        <v>2.0</v>
      </c>
      <c r="R29" s="760" t="str">
        <f t="array" ref="R29">XLOOKUP(P29,Workflow!$S$6:$S$270,Workflow!$W$6:$W$270)</f>
        <v>P227</v>
      </c>
      <c r="T29" s="765">
        <v>45986.0</v>
      </c>
      <c r="U29" s="760">
        <v>1.0</v>
      </c>
      <c r="V29" s="760" t="str">
        <f t="array" ref="V29">XLOOKUP(T29,Workflow!$T$6:$T$270,Workflow!$W$6:$W$270)</f>
        <v>P127</v>
      </c>
    </row>
    <row r="30">
      <c r="A30" s="773"/>
      <c r="B30" s="773"/>
      <c r="C30" s="773"/>
      <c r="E30" s="103"/>
      <c r="G30" s="103"/>
      <c r="H30" s="103"/>
      <c r="I30" s="103"/>
      <c r="M30" s="760" t="s">
        <v>160</v>
      </c>
      <c r="N30" s="760">
        <v>5.0</v>
      </c>
      <c r="P30" s="765">
        <v>45974.0</v>
      </c>
      <c r="Q30" s="760">
        <v>1.0</v>
      </c>
      <c r="R30" s="760" t="str">
        <f t="array" ref="R30">XLOOKUP(P30,Workflow!$S$6:$S$270,Workflow!$W$6:$W$270)</f>
        <v>P180</v>
      </c>
      <c r="T30" s="767">
        <v>45983.0</v>
      </c>
      <c r="U30" s="760">
        <v>3.0</v>
      </c>
      <c r="V30" s="760" t="str">
        <f t="array" ref="V30">XLOOKUP(T30,Workflow!$T$6:$T$270,Workflow!$W$6:$W$270)</f>
        <v>P212</v>
      </c>
    </row>
    <row r="31">
      <c r="A31" s="773"/>
      <c r="B31" s="773"/>
      <c r="C31" s="773"/>
      <c r="E31" s="103"/>
      <c r="G31" s="103"/>
      <c r="H31" s="103"/>
      <c r="I31" s="103"/>
      <c r="J31" s="760" t="s">
        <v>75</v>
      </c>
      <c r="K31" s="760" t="s">
        <v>1276</v>
      </c>
      <c r="M31" s="760" t="s">
        <v>225</v>
      </c>
      <c r="N31" s="760">
        <v>12.0</v>
      </c>
      <c r="P31" s="765">
        <v>45972.0</v>
      </c>
      <c r="Q31" s="760">
        <v>1.0</v>
      </c>
      <c r="R31" s="760" t="str">
        <f t="array" ref="R31">XLOOKUP(P31,Workflow!$S$6:$S$270,Workflow!$W$6:$W$270)</f>
        <v>P237</v>
      </c>
      <c r="T31" s="765">
        <v>45982.0</v>
      </c>
      <c r="U31" s="760">
        <v>6.0</v>
      </c>
      <c r="V31" s="760" t="str">
        <f t="array" ref="V31">XLOOKUP(T31,Workflow!$T$6:$T$270,Workflow!$W$6:$W$270)</f>
        <v>P207</v>
      </c>
    </row>
    <row r="32">
      <c r="A32" s="773"/>
      <c r="B32" s="773"/>
      <c r="C32" s="773"/>
      <c r="E32" s="103"/>
      <c r="G32" s="103"/>
      <c r="H32" s="103"/>
      <c r="I32" s="103"/>
      <c r="J32" s="760" t="s">
        <v>1028</v>
      </c>
      <c r="K32" s="774">
        <v>1.0</v>
      </c>
      <c r="M32" s="760" t="s">
        <v>189</v>
      </c>
      <c r="N32" s="760">
        <v>9.0</v>
      </c>
      <c r="P32" s="765">
        <v>45969.0</v>
      </c>
      <c r="Q32" s="760">
        <v>2.0</v>
      </c>
      <c r="R32" s="760" t="str">
        <f t="array" ref="R32">XLOOKUP(P32,Workflow!$S$6:$S$270,Workflow!$W$6:$W$270)</f>
        <v>P178</v>
      </c>
      <c r="T32" s="765">
        <v>45976.0</v>
      </c>
      <c r="U32" s="760">
        <v>1.0</v>
      </c>
      <c r="V32" s="760" t="str">
        <f t="array" ref="V32">XLOOKUP(T32,Workflow!$T$6:$T$270,Workflow!$W$6:$W$270)</f>
        <v>P236</v>
      </c>
    </row>
    <row r="33">
      <c r="A33" s="773"/>
      <c r="B33" s="773"/>
      <c r="C33" s="773"/>
      <c r="E33" s="103"/>
      <c r="G33" s="103"/>
      <c r="H33" s="103"/>
      <c r="I33" s="103"/>
      <c r="J33" s="760" t="s">
        <v>170</v>
      </c>
      <c r="K33" s="774">
        <v>66.0</v>
      </c>
      <c r="M33" s="760" t="s">
        <v>123</v>
      </c>
      <c r="N33" s="760">
        <v>18.0</v>
      </c>
      <c r="P33" s="767">
        <v>45967.0</v>
      </c>
      <c r="Q33" s="760">
        <v>1.0</v>
      </c>
      <c r="R33" s="760" t="str">
        <f t="array" ref="R33">XLOOKUP(P33,Workflow!$S$6:$S$270,Workflow!$W$6:$W$270)</f>
        <v>P210</v>
      </c>
      <c r="T33" s="765">
        <v>45975.0</v>
      </c>
      <c r="U33" s="760">
        <v>1.0</v>
      </c>
      <c r="V33" s="760" t="str">
        <f t="array" ref="V33">XLOOKUP(T33,Workflow!$T$6:$T$270,Workflow!$W$6:$W$270)</f>
        <v>P227</v>
      </c>
    </row>
    <row r="34">
      <c r="A34" s="773"/>
      <c r="B34" s="773"/>
      <c r="C34" s="773"/>
      <c r="E34" s="103"/>
      <c r="G34" s="103"/>
      <c r="H34" s="103"/>
      <c r="I34" s="103"/>
      <c r="J34" s="760" t="s">
        <v>627</v>
      </c>
      <c r="K34" s="774">
        <v>1.0</v>
      </c>
      <c r="M34" s="760" t="s">
        <v>558</v>
      </c>
      <c r="N34" s="760">
        <v>2.0</v>
      </c>
      <c r="P34" s="765">
        <v>45962.0</v>
      </c>
      <c r="Q34" s="760">
        <v>2.0</v>
      </c>
      <c r="R34" s="760" t="str">
        <f t="array" ref="R34">XLOOKUP(P34,Workflow!$S$6:$S$270,Workflow!$W$6:$W$270)</f>
        <v>P208</v>
      </c>
      <c r="T34" s="765">
        <v>45974.0</v>
      </c>
      <c r="U34" s="760">
        <v>1.0</v>
      </c>
      <c r="V34" s="760" t="str">
        <f t="array" ref="V34">XLOOKUP(T34,Workflow!$T$6:$T$270,Workflow!$W$6:$W$270)</f>
        <v>P180</v>
      </c>
    </row>
    <row r="35">
      <c r="A35" s="773"/>
      <c r="B35" s="773"/>
      <c r="C35" s="773"/>
      <c r="E35" s="103"/>
      <c r="G35" s="103"/>
      <c r="H35" s="103"/>
      <c r="I35" s="103"/>
      <c r="J35" s="760" t="s">
        <v>441</v>
      </c>
      <c r="K35" s="774">
        <v>17.0</v>
      </c>
      <c r="M35" s="760" t="s">
        <v>1261</v>
      </c>
      <c r="N35" s="760">
        <v>264.0</v>
      </c>
      <c r="P35" s="765">
        <v>45961.0</v>
      </c>
      <c r="Q35" s="760">
        <v>3.0</v>
      </c>
      <c r="R35" s="760" t="str">
        <f t="array" ref="R35">XLOOKUP(P35,Workflow!$S$6:$S$270,Workflow!$W$6:$W$270)</f>
        <v>P147</v>
      </c>
      <c r="T35" s="765">
        <v>45973.0</v>
      </c>
      <c r="U35" s="760">
        <v>2.0</v>
      </c>
      <c r="V35" s="760" t="str">
        <f t="array" ref="V35">XLOOKUP(T35,Workflow!$T$6:$T$270,Workflow!$W$6:$W$270)</f>
        <v>P237</v>
      </c>
    </row>
    <row r="36">
      <c r="A36" s="773"/>
      <c r="B36" s="773"/>
      <c r="C36" s="773"/>
      <c r="E36" s="103"/>
      <c r="G36" s="103"/>
      <c r="H36" s="103"/>
      <c r="I36" s="103"/>
      <c r="J36" s="760" t="s">
        <v>116</v>
      </c>
      <c r="K36" s="774">
        <v>50.0</v>
      </c>
      <c r="P36" s="765">
        <v>45960.0</v>
      </c>
      <c r="Q36" s="760">
        <v>1.0</v>
      </c>
      <c r="R36" s="760" t="str">
        <f t="array" ref="R36">XLOOKUP(P36,Workflow!$S$6:$S$270,Workflow!$W$6:$W$270)</f>
        <v>P196</v>
      </c>
      <c r="T36" s="765">
        <v>45970.0</v>
      </c>
      <c r="U36" s="760">
        <v>1.0</v>
      </c>
      <c r="V36" s="760" t="str">
        <f t="array" ref="V36">XLOOKUP(T36,Workflow!$T$6:$T$270,Workflow!$W$6:$W$270)</f>
        <v>P178</v>
      </c>
    </row>
    <row r="37">
      <c r="A37" s="773"/>
      <c r="B37" s="773"/>
      <c r="C37" s="773"/>
      <c r="E37" s="103"/>
      <c r="G37" s="103"/>
      <c r="H37" s="103"/>
      <c r="I37" s="103"/>
      <c r="J37" s="760" t="s">
        <v>256</v>
      </c>
      <c r="K37" s="774">
        <v>1.0</v>
      </c>
      <c r="P37" s="767">
        <v>45957.0</v>
      </c>
      <c r="Q37" s="760">
        <v>1.0</v>
      </c>
      <c r="R37" s="760" t="str">
        <f t="array" ref="R37">XLOOKUP(P37,Workflow!$S$6:$S$270,Workflow!$W$6:$W$270)</f>
        <v>P217</v>
      </c>
      <c r="T37" s="765">
        <v>45969.0</v>
      </c>
      <c r="U37" s="760">
        <v>1.0</v>
      </c>
      <c r="V37" s="760" t="str">
        <f t="array" ref="V37">XLOOKUP(T37,Workflow!$T$6:$T$270,Workflow!$W$6:$W$270)</f>
        <v>P198</v>
      </c>
    </row>
    <row r="38">
      <c r="A38" s="773"/>
      <c r="B38" s="773"/>
      <c r="C38" s="773"/>
      <c r="E38" s="103"/>
      <c r="G38" s="103"/>
      <c r="H38" s="103"/>
      <c r="I38" s="103"/>
      <c r="J38" s="760" t="s">
        <v>192</v>
      </c>
      <c r="K38" s="774">
        <v>45.0</v>
      </c>
      <c r="M38" s="775" t="s">
        <v>78</v>
      </c>
      <c r="N38" s="760" t="s">
        <v>1243</v>
      </c>
      <c r="P38" s="765">
        <v>45955.0</v>
      </c>
      <c r="Q38" s="760">
        <v>1.0</v>
      </c>
      <c r="R38" s="760" t="str">
        <f t="array" ref="R38">XLOOKUP(P38,Workflow!$S$6:$S$270,Workflow!$W$6:$W$270)</f>
        <v>P229</v>
      </c>
      <c r="T38" s="767">
        <v>45967.0</v>
      </c>
      <c r="U38" s="760">
        <v>1.0</v>
      </c>
      <c r="V38" s="760" t="str">
        <f t="array" ref="V38">XLOOKUP(T38,Workflow!$T$6:$T$270,Workflow!$W$6:$W$270)</f>
        <v>P210</v>
      </c>
    </row>
    <row r="39">
      <c r="A39" s="773"/>
      <c r="B39" s="773"/>
      <c r="C39" s="773"/>
      <c r="E39" s="103"/>
      <c r="G39" s="103"/>
      <c r="H39" s="103"/>
      <c r="I39" s="103"/>
      <c r="J39" s="760" t="s">
        <v>153</v>
      </c>
      <c r="K39" s="760">
        <v>12.0</v>
      </c>
      <c r="M39" s="760"/>
      <c r="N39" s="760">
        <v>2.0</v>
      </c>
      <c r="P39" s="776">
        <v>45954.0</v>
      </c>
      <c r="Q39" s="760">
        <v>3.0</v>
      </c>
      <c r="R39" s="760" t="str">
        <f t="array" ref="R39">XLOOKUP(P39,Workflow!$S$6:$S$270,Workflow!$W$6:$W$270)</f>
        <v>P106</v>
      </c>
      <c r="T39" s="765">
        <v>45963.0</v>
      </c>
      <c r="U39" s="760">
        <v>1.0</v>
      </c>
      <c r="V39" s="760" t="str">
        <f t="array" ref="V39">XLOOKUP(T39,Workflow!$T$6:$T$270,Workflow!$W$6:$W$270)</f>
        <v>P226</v>
      </c>
    </row>
    <row r="40">
      <c r="A40" s="773"/>
      <c r="B40" s="773"/>
      <c r="C40" s="773"/>
      <c r="E40" s="103"/>
      <c r="G40" s="103"/>
      <c r="H40" s="103"/>
      <c r="I40" s="103"/>
      <c r="J40" s="760" t="s">
        <v>162</v>
      </c>
      <c r="K40" s="760">
        <v>44.0</v>
      </c>
      <c r="M40" s="760" t="s">
        <v>644</v>
      </c>
      <c r="N40" s="760">
        <v>4.0</v>
      </c>
      <c r="P40" s="765">
        <v>45953.0</v>
      </c>
      <c r="Q40" s="760">
        <v>1.0</v>
      </c>
      <c r="R40" s="760" t="str">
        <f t="array" ref="R40">XLOOKUP(P40,Workflow!$S$6:$S$270,Workflow!$W$6:$W$270)</f>
        <v>P223</v>
      </c>
      <c r="T40" s="765">
        <v>45962.0</v>
      </c>
      <c r="U40" s="760">
        <v>3.0</v>
      </c>
      <c r="V40" s="760" t="str">
        <f t="array" ref="V40">XLOOKUP(T40,Workflow!$T$6:$T$270,Workflow!$W$6:$W$270)</f>
        <v>P196</v>
      </c>
    </row>
    <row r="41">
      <c r="A41" s="773"/>
      <c r="B41" s="773"/>
      <c r="C41" s="773"/>
      <c r="E41" s="103"/>
      <c r="G41" s="103"/>
      <c r="H41" s="103"/>
      <c r="I41" s="103"/>
      <c r="J41" s="760" t="s">
        <v>287</v>
      </c>
      <c r="K41" s="760">
        <v>27.0</v>
      </c>
      <c r="M41" s="760" t="s">
        <v>118</v>
      </c>
      <c r="N41" s="760">
        <v>200.0</v>
      </c>
      <c r="P41" s="765">
        <v>45952.0</v>
      </c>
      <c r="Q41" s="760">
        <v>1.0</v>
      </c>
      <c r="R41" s="760" t="str">
        <f t="array" ref="R41">XLOOKUP(P41,Workflow!$S$6:$S$270,Workflow!$W$6:$W$270)</f>
        <v>P182</v>
      </c>
      <c r="T41" s="765">
        <v>45961.0</v>
      </c>
      <c r="U41" s="760">
        <v>2.0</v>
      </c>
      <c r="V41" s="760" t="str">
        <f t="array" ref="V41">XLOOKUP(T41,Workflow!$T$6:$T$270,Workflow!$W$6:$W$270)</f>
        <v>P147</v>
      </c>
    </row>
    <row r="42">
      <c r="A42" s="773"/>
      <c r="B42" s="773"/>
      <c r="C42" s="773"/>
      <c r="E42" s="103"/>
      <c r="G42" s="103"/>
      <c r="H42" s="103"/>
      <c r="I42" s="103"/>
      <c r="J42" s="760" t="s">
        <v>1261</v>
      </c>
      <c r="K42" s="760">
        <v>264.0</v>
      </c>
      <c r="M42" s="760" t="s">
        <v>146</v>
      </c>
      <c r="N42" s="760">
        <v>37.0</v>
      </c>
      <c r="P42" s="765">
        <v>45951.0</v>
      </c>
      <c r="Q42" s="760">
        <v>1.0</v>
      </c>
      <c r="R42" s="760" t="str">
        <f t="array" ref="R42">XLOOKUP(P42,Workflow!$S$6:$S$270,Workflow!$W$6:$W$270)</f>
        <v>P126</v>
      </c>
      <c r="T42" s="767">
        <v>45958.0</v>
      </c>
      <c r="U42" s="760">
        <v>1.0</v>
      </c>
      <c r="V42" s="760" t="str">
        <f t="array" ref="V42">XLOOKUP(T42,Workflow!$T$6:$T$270,Workflow!$W$6:$W$270)</f>
        <v>P217</v>
      </c>
    </row>
    <row r="43">
      <c r="A43" s="773"/>
      <c r="B43" s="773"/>
      <c r="C43" s="773"/>
      <c r="E43" s="103"/>
      <c r="G43" s="103"/>
      <c r="H43" s="103"/>
      <c r="I43" s="103"/>
      <c r="M43" s="760" t="s">
        <v>155</v>
      </c>
      <c r="N43" s="760">
        <v>17.0</v>
      </c>
      <c r="P43" s="765">
        <v>45948.0</v>
      </c>
      <c r="Q43" s="760">
        <v>2.0</v>
      </c>
      <c r="R43" s="760" t="str">
        <f t="array" ref="R43">XLOOKUP(P43,Workflow!$S$6:$S$270,Workflow!$W$6:$W$270)</f>
        <v>P199</v>
      </c>
      <c r="T43" s="765">
        <v>45956.0</v>
      </c>
      <c r="U43" s="760">
        <v>1.0</v>
      </c>
      <c r="V43" s="760" t="str">
        <f t="array" ref="V43">XLOOKUP(T43,Workflow!$T$6:$T$270,Workflow!$W$6:$W$270)</f>
        <v>P106</v>
      </c>
    </row>
    <row r="44">
      <c r="A44" s="773"/>
      <c r="B44" s="773"/>
      <c r="C44" s="773"/>
      <c r="E44" s="103"/>
      <c r="G44" s="103"/>
      <c r="H44" s="103"/>
      <c r="I44" s="103"/>
      <c r="J44" s="760" t="s">
        <v>92</v>
      </c>
      <c r="K44" s="760" t="s">
        <v>1243</v>
      </c>
      <c r="M44" s="760" t="s">
        <v>258</v>
      </c>
      <c r="N44" s="760">
        <v>4.0</v>
      </c>
      <c r="P44" s="765">
        <v>45947.0</v>
      </c>
      <c r="Q44" s="760">
        <v>2.0</v>
      </c>
      <c r="R44" s="760" t="str">
        <f t="array" ref="R44">XLOOKUP(P44,Workflow!$S$6:$S$270,Workflow!$W$6:$W$270)</f>
        <v>P200</v>
      </c>
      <c r="T44" s="767">
        <v>45955.0</v>
      </c>
      <c r="U44" s="760">
        <v>2.0</v>
      </c>
      <c r="V44" s="760" t="str">
        <f t="array" ref="V44">XLOOKUP(T44,Workflow!$T$6:$T$270,Workflow!$W$6:$W$270)</f>
        <v>P214</v>
      </c>
    </row>
    <row r="45">
      <c r="A45" s="773"/>
      <c r="B45" s="773"/>
      <c r="C45" s="773"/>
      <c r="E45" s="103"/>
      <c r="G45" s="103"/>
      <c r="H45" s="103"/>
      <c r="I45" s="103"/>
      <c r="J45" s="760" t="s">
        <v>29</v>
      </c>
      <c r="K45" s="760">
        <v>142.0</v>
      </c>
      <c r="M45" s="760" t="s">
        <v>1261</v>
      </c>
      <c r="N45" s="760">
        <v>264.0</v>
      </c>
      <c r="P45" s="765">
        <v>45946.0</v>
      </c>
      <c r="Q45" s="760">
        <v>1.0</v>
      </c>
      <c r="R45" s="760" t="str">
        <f t="array" ref="R45">XLOOKUP(P45,Workflow!$S$6:$S$270,Workflow!$W$6:$W$270)</f>
        <v>P152</v>
      </c>
      <c r="T45" s="765">
        <v>45954.0</v>
      </c>
      <c r="U45" s="760">
        <v>2.0</v>
      </c>
      <c r="V45" s="760" t="str">
        <f t="array" ref="V45">XLOOKUP(T45,Workflow!$T$6:$T$270,Workflow!$W$6:$W$270)</f>
        <v>P223</v>
      </c>
    </row>
    <row r="46">
      <c r="A46" s="773"/>
      <c r="B46" s="773"/>
      <c r="C46" s="773"/>
      <c r="E46" s="103"/>
      <c r="G46" s="103"/>
      <c r="H46" s="103"/>
      <c r="I46" s="103"/>
      <c r="J46" s="760" t="s">
        <v>131</v>
      </c>
      <c r="K46" s="760">
        <v>122.0</v>
      </c>
      <c r="P46" s="765">
        <v>45941.0</v>
      </c>
      <c r="Q46" s="760">
        <v>2.0</v>
      </c>
      <c r="R46" s="760" t="str">
        <f t="array" ref="R46">XLOOKUP(P46,Workflow!$S$6:$S$270,Workflow!$W$6:$W$270)</f>
        <v>P173</v>
      </c>
      <c r="T46" s="765">
        <v>45952.0</v>
      </c>
      <c r="U46" s="760">
        <v>1.0</v>
      </c>
      <c r="V46" s="760" t="str">
        <f t="array" ref="V46">XLOOKUP(T46,Workflow!$T$6:$T$270,Workflow!$W$6:$W$270)</f>
        <v>P182</v>
      </c>
    </row>
    <row r="47">
      <c r="A47" s="773"/>
      <c r="B47" s="773"/>
      <c r="C47" s="773"/>
      <c r="E47" s="103"/>
      <c r="G47" s="103"/>
      <c r="H47" s="103"/>
      <c r="I47" s="103"/>
      <c r="J47" s="760" t="s">
        <v>1261</v>
      </c>
      <c r="K47" s="760">
        <v>264.0</v>
      </c>
      <c r="P47" s="765">
        <v>45940.0</v>
      </c>
      <c r="Q47" s="760">
        <v>1.0</v>
      </c>
      <c r="R47" s="760" t="str">
        <f t="array" ref="R47">XLOOKUP(P47,Workflow!$S$6:$S$270,Workflow!$W$6:$W$270)</f>
        <v>P206</v>
      </c>
      <c r="T47" s="765">
        <v>45951.0</v>
      </c>
      <c r="U47" s="760">
        <v>1.0</v>
      </c>
      <c r="V47" s="760" t="str">
        <f t="array" ref="V47">XLOOKUP(T47,Workflow!$T$6:$T$270,Workflow!$W$6:$W$270)</f>
        <v>P126</v>
      </c>
    </row>
    <row r="48">
      <c r="A48" s="773"/>
      <c r="B48" s="773"/>
      <c r="C48" s="773"/>
      <c r="E48" s="103"/>
      <c r="G48" s="103"/>
      <c r="H48" s="103"/>
      <c r="I48" s="103"/>
      <c r="M48" s="760" t="s">
        <v>83</v>
      </c>
      <c r="N48" s="760" t="s">
        <v>1243</v>
      </c>
      <c r="P48" s="767">
        <v>45939.0</v>
      </c>
      <c r="Q48" s="760">
        <v>1.0</v>
      </c>
      <c r="R48" s="760" t="str">
        <f t="array" ref="R48">XLOOKUP(P48,Workflow!$S$6:$S$270,Workflow!$W$6:$W$270)</f>
        <v>P209</v>
      </c>
      <c r="T48" s="765">
        <v>45948.0</v>
      </c>
      <c r="U48" s="760">
        <v>3.0</v>
      </c>
      <c r="V48" s="760" t="str">
        <f t="array" ref="V48">XLOOKUP(T48,Workflow!$T$6:$T$270,Workflow!$W$6:$W$270)</f>
        <v>P200</v>
      </c>
    </row>
    <row r="49">
      <c r="A49" s="773"/>
      <c r="B49" s="773"/>
      <c r="C49" s="773"/>
      <c r="E49" s="103"/>
      <c r="G49" s="103"/>
      <c r="H49" s="103"/>
      <c r="I49" s="103"/>
      <c r="M49" s="760"/>
      <c r="N49" s="760">
        <v>0.0</v>
      </c>
      <c r="P49" s="765">
        <v>45938.0</v>
      </c>
      <c r="Q49" s="760">
        <v>1.0</v>
      </c>
      <c r="R49" s="760" t="str">
        <f t="array" ref="R49">XLOOKUP(P49,Workflow!$S$6:$S$270,Workflow!$W$6:$W$270)</f>
        <v>P129</v>
      </c>
      <c r="T49" s="765">
        <v>45947.0</v>
      </c>
      <c r="U49" s="760">
        <v>1.0</v>
      </c>
      <c r="V49" s="760" t="str">
        <f t="array" ref="V49">XLOOKUP(T49,Workflow!$T$6:$T$270,Workflow!$W$6:$W$270)</f>
        <v>P211</v>
      </c>
    </row>
    <row r="50">
      <c r="A50" s="773"/>
      <c r="B50" s="773"/>
      <c r="C50" s="773"/>
      <c r="E50" s="103"/>
      <c r="G50" s="103"/>
      <c r="H50" s="103"/>
      <c r="I50" s="103"/>
      <c r="M50" s="760" t="s">
        <v>922</v>
      </c>
      <c r="N50" s="760">
        <v>1.0</v>
      </c>
      <c r="P50" s="765">
        <v>45937.0</v>
      </c>
      <c r="Q50" s="760">
        <v>2.0</v>
      </c>
      <c r="R50" s="760" t="str">
        <f t="array" ref="R50">XLOOKUP(P50,Workflow!$S$6:$S$270,Workflow!$W$6:$W$270)</f>
        <v>P191</v>
      </c>
      <c r="T50" s="765">
        <v>45946.0</v>
      </c>
      <c r="U50" s="760">
        <v>1.0</v>
      </c>
      <c r="V50" s="760" t="str">
        <f t="array" ref="V50">XLOOKUP(T50,Workflow!$T$6:$T$270,Workflow!$W$6:$W$270)</f>
        <v>P152</v>
      </c>
    </row>
    <row r="51">
      <c r="A51" s="773"/>
      <c r="B51" s="773"/>
      <c r="C51" s="773"/>
      <c r="E51" s="103"/>
      <c r="G51" s="103"/>
      <c r="H51" s="103"/>
      <c r="I51" s="103"/>
      <c r="M51" s="760" t="s">
        <v>128</v>
      </c>
      <c r="N51" s="760">
        <v>8.0</v>
      </c>
      <c r="P51" s="777">
        <v>45931.0</v>
      </c>
      <c r="Q51" s="760">
        <v>1.0</v>
      </c>
      <c r="R51" s="760" t="str">
        <f t="array" ref="R51">XLOOKUP(P51,Workflow!$S$6:$S$270,Workflow!$W$6:$W$270)</f>
        <v>P216</v>
      </c>
      <c r="T51" s="765">
        <v>45941.0</v>
      </c>
      <c r="U51" s="760">
        <v>2.0</v>
      </c>
      <c r="V51" s="760" t="str">
        <f t="array" ref="V51">XLOOKUP(T51,Workflow!$T$6:$T$270,Workflow!$W$6:$W$270)</f>
        <v>P173</v>
      </c>
    </row>
    <row r="52">
      <c r="A52" s="773"/>
      <c r="B52" s="773"/>
      <c r="C52" s="773"/>
      <c r="E52" s="103"/>
      <c r="G52" s="103"/>
      <c r="H52" s="103"/>
      <c r="I52" s="103"/>
      <c r="M52" s="760" t="s">
        <v>196</v>
      </c>
      <c r="N52" s="760">
        <v>23.0</v>
      </c>
      <c r="P52" s="765">
        <v>45930.0</v>
      </c>
      <c r="Q52" s="760">
        <v>1.0</v>
      </c>
      <c r="R52" s="760" t="str">
        <f t="array" ref="R52">XLOOKUP(P52,Workflow!$S$6:$S$270,Workflow!$W$6:$W$270)</f>
        <v>P172</v>
      </c>
      <c r="T52" s="765">
        <v>45940.0</v>
      </c>
      <c r="U52" s="760">
        <v>1.0</v>
      </c>
      <c r="V52" s="760" t="str">
        <f t="array" ref="V52">XLOOKUP(T52,Workflow!$T$6:$T$270,Workflow!$W$6:$W$270)</f>
        <v>P206</v>
      </c>
    </row>
    <row r="53">
      <c r="A53" s="773"/>
      <c r="B53" s="773"/>
      <c r="C53" s="773"/>
      <c r="E53" s="103"/>
      <c r="G53" s="103"/>
      <c r="H53" s="103"/>
      <c r="I53" s="103"/>
      <c r="J53" s="760" t="s">
        <v>82</v>
      </c>
      <c r="K53" s="760" t="s">
        <v>1243</v>
      </c>
      <c r="M53" s="760" t="s">
        <v>166</v>
      </c>
      <c r="N53" s="760">
        <v>46.0</v>
      </c>
      <c r="P53" s="765">
        <v>45928.0</v>
      </c>
      <c r="Q53" s="760">
        <v>1.0</v>
      </c>
      <c r="R53" s="760" t="str">
        <f t="array" ref="R53">XLOOKUP(P53,Workflow!$S$6:$S$270,Workflow!$W$6:$W$270)</f>
        <v>P113</v>
      </c>
      <c r="T53" s="765">
        <v>45939.0</v>
      </c>
      <c r="U53" s="760">
        <v>3.0</v>
      </c>
      <c r="V53" s="760" t="str">
        <f t="array" ref="V53">XLOOKUP(T53,Workflow!$T$6:$T$270,Workflow!$W$6:$W$270)</f>
        <v>P191</v>
      </c>
    </row>
    <row r="54">
      <c r="A54" s="773"/>
      <c r="B54" s="773"/>
      <c r="C54" s="773"/>
      <c r="E54" s="103"/>
      <c r="G54" s="103"/>
      <c r="H54" s="103"/>
      <c r="I54" s="103"/>
      <c r="J54" s="760"/>
      <c r="K54" s="760">
        <v>0.0</v>
      </c>
      <c r="M54" s="760" t="s">
        <v>372</v>
      </c>
      <c r="N54" s="760">
        <v>1.0</v>
      </c>
      <c r="P54" s="765">
        <v>45926.0</v>
      </c>
      <c r="Q54" s="760">
        <v>2.0</v>
      </c>
      <c r="R54" s="760" t="str">
        <f t="array" ref="R54">XLOOKUP(P54,Workflow!$S$6:$S$270,Workflow!$W$6:$W$270)</f>
        <v>P186</v>
      </c>
      <c r="T54" s="765">
        <v>45938.0</v>
      </c>
      <c r="U54" s="760">
        <v>1.0</v>
      </c>
      <c r="V54" s="760" t="str">
        <f t="array" ref="V54">XLOOKUP(T54,Workflow!$T$6:$T$270,Workflow!$W$6:$W$270)</f>
        <v>P129</v>
      </c>
    </row>
    <row r="55">
      <c r="A55" s="773"/>
      <c r="B55" s="773"/>
      <c r="C55" s="773"/>
      <c r="E55" s="103"/>
      <c r="G55" s="103"/>
      <c r="H55" s="103"/>
      <c r="I55" s="103"/>
      <c r="J55" s="760" t="s">
        <v>119</v>
      </c>
      <c r="K55" s="760">
        <v>150.0</v>
      </c>
      <c r="M55" s="760" t="s">
        <v>685</v>
      </c>
      <c r="N55" s="760">
        <v>1.0</v>
      </c>
      <c r="P55" s="765">
        <v>45925.0</v>
      </c>
      <c r="Q55" s="760">
        <v>2.0</v>
      </c>
      <c r="R55" s="760" t="str">
        <f t="array" ref="R55">XLOOKUP(P55,Workflow!$S$6:$S$270,Workflow!$W$6:$W$270)</f>
        <v>P181</v>
      </c>
      <c r="T55" s="767">
        <v>45931.0</v>
      </c>
      <c r="U55" s="760">
        <v>1.0</v>
      </c>
      <c r="V55" s="760" t="str">
        <f t="array" ref="V55">XLOOKUP(T55,Workflow!$T$6:$T$270,Workflow!$W$6:$W$270)</f>
        <v>P216</v>
      </c>
    </row>
    <row r="56">
      <c r="A56" s="773"/>
      <c r="B56" s="773"/>
      <c r="C56" s="773"/>
      <c r="E56" s="103"/>
      <c r="G56" s="103"/>
      <c r="H56" s="103"/>
      <c r="I56" s="103"/>
      <c r="J56" s="760" t="s">
        <v>127</v>
      </c>
      <c r="K56" s="760">
        <v>11.0</v>
      </c>
      <c r="M56" s="760" t="s">
        <v>209</v>
      </c>
      <c r="N56" s="760">
        <v>14.0</v>
      </c>
      <c r="P56" s="765">
        <v>45923.0</v>
      </c>
      <c r="Q56" s="760">
        <v>2.0</v>
      </c>
      <c r="R56" s="760" t="str">
        <f t="array" ref="R56">XLOOKUP(P56,Workflow!$S$6:$S$270,Workflow!$W$6:$W$270)</f>
        <v>P125</v>
      </c>
      <c r="T56" s="765">
        <v>45930.0</v>
      </c>
      <c r="U56" s="760">
        <v>1.0</v>
      </c>
      <c r="V56" s="760" t="str">
        <f t="array" ref="V56">XLOOKUP(T56,Workflow!$T$6:$T$270,Workflow!$W$6:$W$270)</f>
        <v>P172</v>
      </c>
    </row>
    <row r="57">
      <c r="A57" s="773"/>
      <c r="B57" s="773"/>
      <c r="C57" s="773"/>
      <c r="E57" s="103"/>
      <c r="G57" s="103"/>
      <c r="H57" s="103"/>
      <c r="I57" s="103"/>
      <c r="J57" s="760" t="s">
        <v>543</v>
      </c>
      <c r="K57" s="760">
        <v>8.0</v>
      </c>
      <c r="M57" s="760" t="s">
        <v>238</v>
      </c>
      <c r="N57" s="760">
        <v>17.0</v>
      </c>
      <c r="P57" s="765">
        <v>45920.0</v>
      </c>
      <c r="Q57" s="760">
        <v>1.0</v>
      </c>
      <c r="R57" s="760" t="str">
        <f t="array" ref="R57">XLOOKUP(P57,Workflow!$S$6:$S$270,Workflow!$W$6:$W$270)</f>
        <v>P203</v>
      </c>
      <c r="T57" s="765">
        <v>45928.0</v>
      </c>
      <c r="U57" s="760">
        <v>1.0</v>
      </c>
      <c r="V57" s="760" t="str">
        <f t="array" ref="V57">XLOOKUP(T57,Workflow!$T$6:$T$270,Workflow!$W$6:$W$270)</f>
        <v>P113</v>
      </c>
    </row>
    <row r="58">
      <c r="A58" s="773"/>
      <c r="B58" s="773"/>
      <c r="C58" s="773"/>
      <c r="E58" s="103"/>
      <c r="G58" s="103"/>
      <c r="H58" s="103"/>
      <c r="I58" s="103"/>
      <c r="J58" s="760" t="s">
        <v>345</v>
      </c>
      <c r="K58" s="760">
        <v>11.0</v>
      </c>
      <c r="M58" s="760" t="s">
        <v>182</v>
      </c>
      <c r="N58" s="760">
        <v>61.0</v>
      </c>
      <c r="P58" s="765">
        <v>45918.0</v>
      </c>
      <c r="Q58" s="760">
        <v>1.0</v>
      </c>
      <c r="R58" s="760" t="str">
        <f t="array" ref="R58">XLOOKUP(P58,Workflow!$S$6:$S$270,Workflow!$W$6:$W$270)</f>
        <v>P118</v>
      </c>
      <c r="T58" s="765">
        <v>45927.0</v>
      </c>
      <c r="U58" s="760">
        <v>2.0</v>
      </c>
      <c r="V58" s="760" t="str">
        <f t="array" ref="V58">XLOOKUP(T58,Workflow!$T$6:$T$270,Workflow!$W$6:$W$270)</f>
        <v>P181</v>
      </c>
    </row>
    <row r="59">
      <c r="A59" s="773"/>
      <c r="B59" s="773"/>
      <c r="C59" s="773"/>
      <c r="E59" s="103"/>
      <c r="G59" s="103"/>
      <c r="H59" s="103"/>
      <c r="I59" s="103"/>
      <c r="J59" s="760" t="s">
        <v>155</v>
      </c>
      <c r="K59" s="760">
        <v>26.0</v>
      </c>
      <c r="M59" s="760" t="s">
        <v>138</v>
      </c>
      <c r="N59" s="760">
        <v>9.0</v>
      </c>
      <c r="P59" s="765">
        <v>45917.0</v>
      </c>
      <c r="Q59" s="760">
        <v>1.0</v>
      </c>
      <c r="R59" s="760" t="str">
        <f t="array" ref="R59">XLOOKUP(P59,Workflow!$S$6:$S$270,Workflow!$W$6:$W$270)</f>
        <v>P183</v>
      </c>
      <c r="T59" s="765">
        <v>45926.0</v>
      </c>
      <c r="U59" s="760">
        <v>1.0</v>
      </c>
      <c r="V59" s="760" t="str">
        <f t="array" ref="V59">XLOOKUP(T59,Workflow!$T$6:$T$270,Workflow!$W$6:$W$270)</f>
        <v>P186</v>
      </c>
    </row>
    <row r="60">
      <c r="A60" s="773"/>
      <c r="B60" s="773"/>
      <c r="C60" s="773"/>
      <c r="E60" s="103"/>
      <c r="G60" s="103"/>
      <c r="H60" s="103"/>
      <c r="I60" s="103"/>
      <c r="J60" s="760" t="s">
        <v>182</v>
      </c>
      <c r="K60" s="760">
        <v>49.0</v>
      </c>
      <c r="M60" s="760" t="s">
        <v>262</v>
      </c>
      <c r="N60" s="760">
        <v>1.0</v>
      </c>
      <c r="P60" s="765">
        <v>45914.0</v>
      </c>
      <c r="Q60" s="760">
        <v>1.0</v>
      </c>
      <c r="R60" s="760" t="str">
        <f t="array" ref="R60">XLOOKUP(P60,Workflow!$S$6:$S$270,Workflow!$W$6:$W$270)</f>
        <v>P174</v>
      </c>
      <c r="T60" s="765">
        <v>45925.0</v>
      </c>
      <c r="U60" s="760">
        <v>1.0</v>
      </c>
      <c r="V60" s="760" t="str">
        <f t="array" ref="V60">XLOOKUP(T60,Workflow!$T$6:$T$270,Workflow!$W$6:$W$270)</f>
        <v>P188</v>
      </c>
    </row>
    <row r="61">
      <c r="A61" s="773"/>
      <c r="B61" s="773"/>
      <c r="C61" s="773"/>
      <c r="E61" s="103"/>
      <c r="G61" s="103"/>
      <c r="H61" s="103"/>
      <c r="I61" s="103"/>
      <c r="J61" s="760" t="s">
        <v>443</v>
      </c>
      <c r="K61" s="760">
        <v>1.0</v>
      </c>
      <c r="M61" s="760" t="s">
        <v>120</v>
      </c>
      <c r="N61" s="760">
        <v>67.0</v>
      </c>
      <c r="P61" s="765">
        <v>45913.0</v>
      </c>
      <c r="Q61" s="760">
        <v>1.0</v>
      </c>
      <c r="R61" s="760" t="str">
        <f t="array" ref="R61">XLOOKUP(P61,Workflow!$S$6:$S$270,Workflow!$W$6:$W$270)</f>
        <v>P190</v>
      </c>
      <c r="T61" s="765">
        <v>45923.0</v>
      </c>
      <c r="U61" s="760">
        <v>2.0</v>
      </c>
      <c r="V61" s="760" t="str">
        <f t="array" ref="V61">XLOOKUP(T61,Workflow!$T$6:$T$270,Workflow!$W$6:$W$270)</f>
        <v>P125</v>
      </c>
    </row>
    <row r="62">
      <c r="A62" s="773"/>
      <c r="B62" s="773"/>
      <c r="C62" s="773"/>
      <c r="E62" s="103"/>
      <c r="G62" s="103"/>
      <c r="H62" s="103"/>
      <c r="I62" s="103"/>
      <c r="J62" s="760" t="s">
        <v>261</v>
      </c>
      <c r="K62" s="760">
        <v>8.0</v>
      </c>
      <c r="M62" s="760" t="s">
        <v>174</v>
      </c>
      <c r="N62" s="760">
        <v>6.0</v>
      </c>
      <c r="P62" s="765">
        <v>45912.0</v>
      </c>
      <c r="Q62" s="760">
        <v>2.0</v>
      </c>
      <c r="R62" s="760" t="str">
        <f t="array" ref="R62">XLOOKUP(P62,Workflow!$S$6:$S$270,Workflow!$W$6:$W$270)</f>
        <v>P055</v>
      </c>
      <c r="T62" s="765">
        <v>45921.0</v>
      </c>
      <c r="U62" s="760">
        <v>1.0</v>
      </c>
      <c r="V62" s="760" t="str">
        <f t="array" ref="V62">XLOOKUP(T62,Workflow!$T$6:$T$270,Workflow!$W$6:$W$270)</f>
        <v>P203</v>
      </c>
    </row>
    <row r="63">
      <c r="A63" s="773"/>
      <c r="B63" s="773"/>
      <c r="C63" s="773"/>
      <c r="E63" s="103"/>
      <c r="G63" s="103"/>
      <c r="H63" s="103"/>
      <c r="I63" s="103"/>
      <c r="J63" s="760" t="s">
        <v>1261</v>
      </c>
      <c r="K63" s="760">
        <v>264.0</v>
      </c>
      <c r="M63" s="760" t="s">
        <v>738</v>
      </c>
      <c r="N63" s="760">
        <v>1.0</v>
      </c>
      <c r="P63" s="765">
        <v>45911.0</v>
      </c>
      <c r="Q63" s="760">
        <v>1.0</v>
      </c>
      <c r="R63" s="760" t="str">
        <f t="array" ref="R63">XLOOKUP(P63,Workflow!$S$6:$S$270,Workflow!$W$6:$W$270)</f>
        <v>P156</v>
      </c>
      <c r="T63" s="765">
        <v>45918.0</v>
      </c>
      <c r="U63" s="760">
        <v>2.0</v>
      </c>
      <c r="V63" s="760" t="str">
        <f t="array" ref="V63">XLOOKUP(T63,Workflow!$T$6:$T$270,Workflow!$W$6:$W$270)</f>
        <v>P183</v>
      </c>
    </row>
    <row r="64">
      <c r="A64" s="773"/>
      <c r="B64" s="773"/>
      <c r="C64" s="773"/>
      <c r="E64" s="103"/>
      <c r="G64" s="103"/>
      <c r="H64" s="103"/>
      <c r="I64" s="103"/>
      <c r="M64" s="760" t="s">
        <v>306</v>
      </c>
      <c r="N64" s="760">
        <v>8.0</v>
      </c>
      <c r="P64" s="765">
        <v>45908.0</v>
      </c>
      <c r="Q64" s="760">
        <v>1.0</v>
      </c>
      <c r="R64" s="760" t="str">
        <f t="array" ref="R64">XLOOKUP(P64,Workflow!$S$6:$S$270,Workflow!$W$6:$W$270)</f>
        <v>P177</v>
      </c>
      <c r="T64" s="765">
        <v>45915.0</v>
      </c>
      <c r="U64" s="760">
        <v>1.0</v>
      </c>
      <c r="V64" s="760" t="str">
        <f t="array" ref="V64">XLOOKUP(T64,Workflow!$T$6:$T$270,Workflow!$W$6:$W$270)</f>
        <v>P160</v>
      </c>
    </row>
    <row r="65">
      <c r="A65" s="773"/>
      <c r="B65" s="773"/>
      <c r="C65" s="773"/>
      <c r="E65" s="103"/>
      <c r="G65" s="103"/>
      <c r="H65" s="103"/>
      <c r="I65" s="103"/>
      <c r="M65" s="760" t="s">
        <v>1261</v>
      </c>
      <c r="N65" s="760">
        <v>264.0</v>
      </c>
      <c r="P65" s="765">
        <v>45906.0</v>
      </c>
      <c r="Q65" s="760">
        <v>2.0</v>
      </c>
      <c r="R65" s="760" t="str">
        <f t="array" ref="R65">XLOOKUP(P65,Workflow!$S$6:$S$270,Workflow!$W$6:$W$270)</f>
        <v>P139</v>
      </c>
      <c r="T65" s="765">
        <v>45914.0</v>
      </c>
      <c r="U65" s="760">
        <v>1.0</v>
      </c>
      <c r="V65" s="760" t="str">
        <f t="array" ref="V65">XLOOKUP(T65,Workflow!$T$6:$T$270,Workflow!$W$6:$W$270)</f>
        <v>P174</v>
      </c>
    </row>
    <row r="66">
      <c r="A66" s="773"/>
      <c r="B66" s="773"/>
      <c r="C66" s="773"/>
      <c r="E66" s="103"/>
      <c r="G66" s="103"/>
      <c r="H66" s="103"/>
      <c r="I66" s="103"/>
      <c r="P66" s="765">
        <v>45904.0</v>
      </c>
      <c r="Q66" s="760">
        <v>2.0</v>
      </c>
      <c r="R66" s="760" t="str">
        <f t="array" ref="R66">XLOOKUP(P66,Workflow!$S$6:$S$270,Workflow!$W$6:$W$270)</f>
        <v>P146</v>
      </c>
      <c r="T66" s="765">
        <v>45913.0</v>
      </c>
      <c r="U66" s="760">
        <v>3.0</v>
      </c>
      <c r="V66" s="760" t="str">
        <f t="array" ref="V66">XLOOKUP(T66,Workflow!$T$6:$T$270,Workflow!$W$6:$W$270)</f>
        <v>P055</v>
      </c>
    </row>
    <row r="67">
      <c r="A67" s="773"/>
      <c r="B67" s="773"/>
      <c r="C67" s="773"/>
      <c r="E67" s="103"/>
      <c r="G67" s="103"/>
      <c r="H67" s="103"/>
      <c r="I67" s="103"/>
      <c r="P67" s="765">
        <v>45902.0</v>
      </c>
      <c r="Q67" s="760">
        <v>2.0</v>
      </c>
      <c r="R67" s="760" t="str">
        <f t="array" ref="R67">XLOOKUP(P67,Workflow!$S$6:$S$270,Workflow!$W$6:$W$270)</f>
        <v>P150</v>
      </c>
      <c r="T67" s="765">
        <v>45911.0</v>
      </c>
      <c r="U67" s="760">
        <v>1.0</v>
      </c>
      <c r="V67" s="760" t="str">
        <f t="array" ref="V67">XLOOKUP(T67,Workflow!$T$6:$T$270,Workflow!$W$6:$W$270)</f>
        <v>P156</v>
      </c>
    </row>
    <row r="68">
      <c r="A68" s="773"/>
      <c r="B68" s="773"/>
      <c r="C68" s="773"/>
      <c r="E68" s="103"/>
      <c r="G68" s="103"/>
      <c r="H68" s="103"/>
      <c r="I68" s="103"/>
      <c r="J68" s="760" t="s">
        <v>93</v>
      </c>
      <c r="K68" s="760" t="s">
        <v>1277</v>
      </c>
      <c r="L68" s="760" t="s">
        <v>1242</v>
      </c>
      <c r="M68" s="760" t="s">
        <v>1278</v>
      </c>
      <c r="P68" s="765">
        <v>45901.0</v>
      </c>
      <c r="Q68" s="760">
        <v>3.0</v>
      </c>
      <c r="R68" s="760" t="str">
        <f t="array" ref="R68">XLOOKUP(P68,Workflow!$S$6:$S$270,Workflow!$W$6:$W$270)</f>
        <v>P114</v>
      </c>
      <c r="T68" s="765">
        <v>45909.0</v>
      </c>
      <c r="U68" s="760">
        <v>1.0</v>
      </c>
      <c r="V68" s="760" t="str">
        <f t="array" ref="V68">XLOOKUP(T68,Workflow!$T$6:$T$270,Workflow!$W$6:$W$270)</f>
        <v>P177</v>
      </c>
    </row>
    <row r="69">
      <c r="A69" s="773"/>
      <c r="B69" s="773"/>
      <c r="C69" s="773"/>
      <c r="E69" s="103"/>
      <c r="G69" s="103"/>
      <c r="H69" s="103"/>
      <c r="I69" s="103"/>
      <c r="J69" s="760" t="s">
        <v>29</v>
      </c>
      <c r="K69" s="760">
        <v>142.0</v>
      </c>
      <c r="L69" s="761">
        <v>2.0942116661E10</v>
      </c>
      <c r="M69" s="760">
        <v>142.0</v>
      </c>
      <c r="P69" s="765">
        <v>45899.0</v>
      </c>
      <c r="Q69" s="760">
        <v>1.0</v>
      </c>
      <c r="R69" s="760" t="str">
        <f t="array" ref="R69">XLOOKUP(P69,Workflow!$S$6:$S$270,Workflow!$W$6:$W$270)</f>
        <v>P136</v>
      </c>
      <c r="T69" s="765">
        <v>45907.0</v>
      </c>
      <c r="U69" s="760">
        <v>1.0</v>
      </c>
      <c r="V69" s="760" t="str">
        <f t="array" ref="V69">XLOOKUP(T69,Workflow!$T$6:$T$270,Workflow!$W$6:$W$270)</f>
        <v>P162</v>
      </c>
    </row>
    <row r="70">
      <c r="A70" s="773"/>
      <c r="B70" s="773"/>
      <c r="C70" s="773"/>
      <c r="E70" s="103"/>
      <c r="G70" s="103"/>
      <c r="H70" s="103"/>
      <c r="I70" s="103"/>
      <c r="J70" s="760" t="s">
        <v>132</v>
      </c>
      <c r="K70" s="760">
        <v>122.0</v>
      </c>
      <c r="L70" s="761">
        <v>1.0573503222E10</v>
      </c>
      <c r="M70" s="760">
        <v>122.0</v>
      </c>
      <c r="P70" s="765">
        <v>45898.0</v>
      </c>
      <c r="Q70" s="760">
        <v>3.0</v>
      </c>
      <c r="R70" s="760" t="str">
        <f t="array" ref="R70">XLOOKUP(P70,Workflow!$S$6:$S$270,Workflow!$W$6:$W$270)</f>
        <v>P112</v>
      </c>
      <c r="T70" s="765">
        <v>45906.0</v>
      </c>
      <c r="U70" s="760">
        <v>2.0</v>
      </c>
      <c r="V70" s="760" t="str">
        <f t="array" ref="V70">XLOOKUP(T70,Workflow!$T$6:$T$270,Workflow!$W$6:$W$270)</f>
        <v>P139</v>
      </c>
    </row>
    <row r="71">
      <c r="A71" s="773"/>
      <c r="B71" s="773"/>
      <c r="C71" s="773"/>
      <c r="E71" s="103"/>
      <c r="G71" s="103"/>
      <c r="H71" s="103"/>
      <c r="I71" s="103"/>
      <c r="J71" s="760" t="s">
        <v>1261</v>
      </c>
      <c r="K71" s="760">
        <v>264.0</v>
      </c>
      <c r="L71" s="761">
        <v>3.1515619883E10</v>
      </c>
      <c r="M71" s="760">
        <v>264.0</v>
      </c>
      <c r="P71" s="765">
        <v>45896.0</v>
      </c>
      <c r="Q71" s="760">
        <v>1.0</v>
      </c>
      <c r="R71" s="760" t="str">
        <f t="array" ref="R71">XLOOKUP(P71,Workflow!$S$6:$S$270,Workflow!$W$6:$W$270)</f>
        <v>P128</v>
      </c>
      <c r="T71" s="765">
        <v>45904.0</v>
      </c>
      <c r="U71" s="760">
        <v>1.0</v>
      </c>
      <c r="V71" s="760" t="str">
        <f t="array" ref="V71">XLOOKUP(T71,Workflow!$T$6:$T$270,Workflow!$W$6:$W$270)</f>
        <v>P146</v>
      </c>
    </row>
    <row r="72">
      <c r="A72" s="773"/>
      <c r="B72" s="773"/>
      <c r="C72" s="773"/>
      <c r="E72" s="103"/>
      <c r="G72" s="103"/>
      <c r="H72" s="103"/>
      <c r="I72" s="103"/>
      <c r="P72" s="765">
        <v>45895.0</v>
      </c>
      <c r="Q72" s="760">
        <v>1.0</v>
      </c>
      <c r="R72" s="760" t="str">
        <f t="array" ref="R72">XLOOKUP(P72,Workflow!$S$6:$S$270,Workflow!$W$6:$W$270)</f>
        <v>P158</v>
      </c>
      <c r="T72" s="765">
        <v>45903.0</v>
      </c>
      <c r="U72" s="760">
        <v>1.0</v>
      </c>
      <c r="V72" s="760" t="str">
        <f t="array" ref="V72">XLOOKUP(T72,Workflow!$T$6:$T$270,Workflow!$W$6:$W$270)</f>
        <v>P195</v>
      </c>
    </row>
    <row r="73">
      <c r="A73" s="773"/>
      <c r="B73" s="773"/>
      <c r="C73" s="773"/>
      <c r="E73" s="103"/>
      <c r="G73" s="103"/>
      <c r="H73" s="103"/>
      <c r="I73" s="103"/>
      <c r="P73" s="765">
        <v>45894.0</v>
      </c>
      <c r="Q73" s="760">
        <v>1.0</v>
      </c>
      <c r="R73" s="760" t="str">
        <f t="array" ref="R73">XLOOKUP(P73,Workflow!$S$6:$S$270,Workflow!$W$6:$W$270)</f>
        <v>P194</v>
      </c>
      <c r="T73" s="765">
        <v>45902.0</v>
      </c>
      <c r="U73" s="760">
        <v>2.0</v>
      </c>
      <c r="V73" s="760" t="str">
        <f t="array" ref="V73">XLOOKUP(T73,Workflow!$T$6:$T$270,Workflow!$W$6:$W$270)</f>
        <v>P133</v>
      </c>
    </row>
    <row r="74">
      <c r="A74" s="773"/>
      <c r="B74" s="773"/>
      <c r="C74" s="773"/>
      <c r="E74" s="103"/>
      <c r="G74" s="103"/>
      <c r="H74" s="103"/>
      <c r="I74" s="103"/>
      <c r="P74" s="765">
        <v>45890.0</v>
      </c>
      <c r="Q74" s="760">
        <v>1.0</v>
      </c>
      <c r="R74" s="760" t="str">
        <f t="array" ref="R74">XLOOKUP(P74,Workflow!$S$6:$S$270,Workflow!$W$6:$W$270)</f>
        <v>P171</v>
      </c>
      <c r="T74" s="765">
        <v>45901.0</v>
      </c>
      <c r="U74" s="760">
        <v>2.0</v>
      </c>
      <c r="V74" s="760" t="str">
        <f t="array" ref="V74">XLOOKUP(T74,Workflow!$T$6:$T$270,Workflow!$W$6:$W$270)</f>
        <v>P114</v>
      </c>
    </row>
    <row r="75">
      <c r="A75" s="773"/>
      <c r="B75" s="773"/>
      <c r="C75" s="773"/>
      <c r="E75" s="103"/>
      <c r="G75" s="103"/>
      <c r="H75" s="103"/>
      <c r="I75" s="103"/>
      <c r="P75" s="765">
        <v>45889.0</v>
      </c>
      <c r="Q75" s="760">
        <v>2.0</v>
      </c>
      <c r="R75" s="760" t="str">
        <f t="array" ref="R75">XLOOKUP(P75,Workflow!$S$6:$S$270,Workflow!$W$6:$W$270)</f>
        <v>P124</v>
      </c>
      <c r="T75" s="765">
        <v>45899.0</v>
      </c>
      <c r="U75" s="760">
        <v>2.0</v>
      </c>
      <c r="V75" s="760" t="str">
        <f t="array" ref="V75">XLOOKUP(T75,Workflow!$T$6:$T$270,Workflow!$W$6:$W$270)</f>
        <v>P142</v>
      </c>
    </row>
    <row r="76">
      <c r="A76" s="773"/>
      <c r="B76" s="773"/>
      <c r="C76" s="773"/>
      <c r="E76" s="103"/>
      <c r="G76" s="103"/>
      <c r="H76" s="103"/>
      <c r="I76" s="103"/>
      <c r="P76" s="765">
        <v>45888.0</v>
      </c>
      <c r="Q76" s="760">
        <v>2.0</v>
      </c>
      <c r="R76" s="760" t="str">
        <f t="array" ref="R76">XLOOKUP(P76,Workflow!$S$6:$S$270,Workflow!$W$6:$W$270)</f>
        <v>P193</v>
      </c>
      <c r="T76" s="765">
        <v>45898.0</v>
      </c>
      <c r="U76" s="760">
        <v>2.0</v>
      </c>
      <c r="V76" s="760" t="str">
        <f t="array" ref="V76">XLOOKUP(T76,Workflow!$T$6:$T$270,Workflow!$W$6:$W$270)</f>
        <v>P112</v>
      </c>
    </row>
    <row r="77">
      <c r="A77" s="773"/>
      <c r="B77" s="773"/>
      <c r="C77" s="773"/>
      <c r="E77" s="103"/>
      <c r="G77" s="103"/>
      <c r="H77" s="103"/>
      <c r="I77" s="103"/>
      <c r="P77" s="765">
        <v>45886.0</v>
      </c>
      <c r="Q77" s="760">
        <v>2.0</v>
      </c>
      <c r="R77" s="760" t="str">
        <f t="array" ref="R77">XLOOKUP(P77,Workflow!$S$6:$S$270,Workflow!$W$6:$W$270)</f>
        <v>P100</v>
      </c>
      <c r="T77" s="765">
        <v>45896.0</v>
      </c>
      <c r="U77" s="760">
        <v>1.0</v>
      </c>
      <c r="V77" s="760" t="str">
        <f t="array" ref="V77">XLOOKUP(T77,Workflow!$T$6:$T$270,Workflow!$W$6:$W$270)</f>
        <v>P128</v>
      </c>
    </row>
    <row r="78">
      <c r="A78" s="773"/>
      <c r="B78" s="773"/>
      <c r="C78" s="773"/>
      <c r="E78" s="103"/>
      <c r="G78" s="103"/>
      <c r="H78" s="103"/>
      <c r="I78" s="103"/>
      <c r="J78" s="760"/>
      <c r="K78" s="760" t="s">
        <v>93</v>
      </c>
      <c r="L78" s="760" t="s">
        <v>1279</v>
      </c>
      <c r="M78" s="760"/>
      <c r="N78" s="760"/>
      <c r="P78" s="765">
        <v>45885.0</v>
      </c>
      <c r="Q78" s="760">
        <v>2.0</v>
      </c>
      <c r="R78" s="760" t="str">
        <f t="array" ref="R78">XLOOKUP(P78,Workflow!$S$6:$S$270,Workflow!$W$6:$W$270)</f>
        <v>P110</v>
      </c>
      <c r="T78" s="765">
        <v>45895.0</v>
      </c>
      <c r="U78" s="760">
        <v>2.0</v>
      </c>
      <c r="V78" s="760" t="str">
        <f t="array" ref="V78">XLOOKUP(T78,Workflow!$T$6:$T$270,Workflow!$W$6:$W$270)</f>
        <v>P194</v>
      </c>
    </row>
    <row r="79">
      <c r="A79" s="773"/>
      <c r="B79" s="773"/>
      <c r="C79" s="773"/>
      <c r="E79" s="103"/>
      <c r="G79" s="103"/>
      <c r="H79" s="103"/>
      <c r="I79" s="103"/>
      <c r="J79" s="760"/>
      <c r="K79" s="760" t="s">
        <v>132</v>
      </c>
      <c r="L79" s="760"/>
      <c r="M79" s="760" t="s">
        <v>1261</v>
      </c>
      <c r="N79" s="760"/>
      <c r="P79" s="776">
        <v>45884.0</v>
      </c>
      <c r="Q79" s="760">
        <v>2.0</v>
      </c>
      <c r="R79" s="760" t="str">
        <f t="array" ref="R79">XLOOKUP(P79,Workflow!$S$6:$S$270,Workflow!$W$6:$W$270)</f>
        <v>P120</v>
      </c>
      <c r="T79" s="765">
        <v>45891.0</v>
      </c>
      <c r="U79" s="760">
        <v>1.0</v>
      </c>
      <c r="V79" s="760" t="str">
        <f t="array" ref="V79">XLOOKUP(T79,Workflow!$T$6:$T$270,Workflow!$W$6:$W$270)</f>
        <v>P171</v>
      </c>
    </row>
    <row r="80">
      <c r="A80" s="773"/>
      <c r="B80" s="773"/>
      <c r="C80" s="773"/>
      <c r="F80" s="778">
        <v>0.15</v>
      </c>
      <c r="G80" s="505">
        <v>1.5E10</v>
      </c>
      <c r="J80" s="760" t="s">
        <v>74</v>
      </c>
      <c r="K80" s="760" t="s">
        <v>1242</v>
      </c>
      <c r="L80" s="760" t="s">
        <v>1280</v>
      </c>
      <c r="M80" s="760" t="s">
        <v>1242</v>
      </c>
      <c r="N80" s="760" t="s">
        <v>1280</v>
      </c>
      <c r="P80" s="765">
        <v>45880.0</v>
      </c>
      <c r="Q80" s="760">
        <v>2.0</v>
      </c>
      <c r="R80" s="760" t="str">
        <f t="array" ref="R80">XLOOKUP(P80,Workflow!$S$6:$S$270,Workflow!$W$6:$W$270)</f>
        <v>P167</v>
      </c>
      <c r="T80" s="765">
        <v>45890.0</v>
      </c>
      <c r="U80" s="760">
        <v>1.0</v>
      </c>
      <c r="V80" s="760" t="str">
        <f t="array" ref="V80">XLOOKUP(T80,Workflow!$T$6:$T$270,Workflow!$W$6:$W$270)</f>
        <v>P166</v>
      </c>
    </row>
    <row r="81">
      <c r="A81" s="773"/>
      <c r="B81" s="773"/>
      <c r="C81" s="773"/>
      <c r="E81" s="106" t="s">
        <v>1028</v>
      </c>
      <c r="F81" s="762">
        <f>K81/K91*100%</f>
        <v>0.1174177546</v>
      </c>
      <c r="G81" s="107">
        <f t="shared" ref="G81:G90" si="5">F81*$G$80</f>
        <v>1761266320</v>
      </c>
      <c r="H81" s="763">
        <v>1.2E9</v>
      </c>
      <c r="I81" s="779">
        <f t="shared" ref="I81:I92" si="6">H81/$H$93*100%</f>
        <v>0.07894736842</v>
      </c>
      <c r="J81" s="760" t="s">
        <v>1028</v>
      </c>
      <c r="K81" s="761">
        <v>1.241517007E9</v>
      </c>
      <c r="L81" s="760">
        <v>74.0</v>
      </c>
      <c r="M81" s="761">
        <v>1.241517007E9</v>
      </c>
      <c r="N81" s="760">
        <v>74.0</v>
      </c>
      <c r="P81" s="765">
        <v>45879.0</v>
      </c>
      <c r="Q81" s="760">
        <v>2.0</v>
      </c>
      <c r="R81" s="760" t="str">
        <f t="array" ref="R81">XLOOKUP(P81,Workflow!$S$6:$S$270,Workflow!$W$6:$W$270)</f>
        <v>P059</v>
      </c>
      <c r="T81" s="765">
        <v>45889.0</v>
      </c>
      <c r="U81" s="760">
        <v>3.0</v>
      </c>
      <c r="V81" s="760" t="str">
        <f t="array" ref="V81">XLOOKUP(T81,Workflow!$T$6:$T$270,Workflow!$W$6:$W$270)</f>
        <v>P193</v>
      </c>
    </row>
    <row r="82">
      <c r="A82" s="773"/>
      <c r="B82" s="773"/>
      <c r="C82" s="773"/>
      <c r="E82" s="106" t="s">
        <v>170</v>
      </c>
      <c r="F82" s="762">
        <f>K82/K91*100%</f>
        <v>0.09517018247</v>
      </c>
      <c r="G82" s="107">
        <f t="shared" si="5"/>
        <v>1427552737</v>
      </c>
      <c r="H82" s="763">
        <v>1.8E9</v>
      </c>
      <c r="I82" s="779">
        <f t="shared" si="6"/>
        <v>0.1184210526</v>
      </c>
      <c r="J82" s="760" t="s">
        <v>170</v>
      </c>
      <c r="K82" s="761">
        <v>1.006282231E9</v>
      </c>
      <c r="L82" s="760">
        <v>870.0</v>
      </c>
      <c r="M82" s="761">
        <v>1.006282231E9</v>
      </c>
      <c r="N82" s="760">
        <v>870.0</v>
      </c>
      <c r="P82" s="765">
        <v>45878.0</v>
      </c>
      <c r="Q82" s="760">
        <v>3.0</v>
      </c>
      <c r="R82" s="760" t="str">
        <f t="array" ref="R82">XLOOKUP(P82,Workflow!$S$6:$S$270,Workflow!$W$6:$W$270)</f>
        <v>P115</v>
      </c>
      <c r="T82" s="765">
        <v>45886.0</v>
      </c>
      <c r="U82" s="760">
        <v>3.0</v>
      </c>
      <c r="V82" s="760" t="str">
        <f t="array" ref="V82">XLOOKUP(T82,Workflow!$T$6:$T$270,Workflow!$W$6:$W$270)</f>
        <v>P120</v>
      </c>
    </row>
    <row r="83">
      <c r="A83" s="773"/>
      <c r="B83" s="773"/>
      <c r="C83" s="773"/>
      <c r="E83" s="106" t="s">
        <v>115</v>
      </c>
      <c r="F83" s="762">
        <f>K84/K91*100%</f>
        <v>0.5924131942</v>
      </c>
      <c r="G83" s="107">
        <f t="shared" si="5"/>
        <v>8886197914</v>
      </c>
      <c r="H83" s="763">
        <v>5.5E9</v>
      </c>
      <c r="I83" s="779">
        <f t="shared" si="6"/>
        <v>0.3618421053</v>
      </c>
      <c r="J83" s="760" t="s">
        <v>1136</v>
      </c>
      <c r="K83" s="761">
        <v>2.26594E8</v>
      </c>
      <c r="L83" s="760">
        <v>70.0</v>
      </c>
      <c r="M83" s="761">
        <v>2.26594E8</v>
      </c>
      <c r="N83" s="760">
        <v>70.0</v>
      </c>
      <c r="P83" s="765">
        <v>45877.0</v>
      </c>
      <c r="Q83" s="760">
        <v>2.0</v>
      </c>
      <c r="R83" s="760" t="str">
        <f t="array" ref="R83">XLOOKUP(P83,Workflow!$S$6:$S$270,Workflow!$W$6:$W$270)</f>
        <v>P047</v>
      </c>
      <c r="T83" s="765">
        <v>45885.0</v>
      </c>
      <c r="U83" s="760">
        <v>2.0</v>
      </c>
      <c r="V83" s="760" t="str">
        <f t="array" ref="V83">XLOOKUP(T83,Workflow!$T$6:$T$270,Workflow!$W$6:$W$270)</f>
        <v>P110</v>
      </c>
    </row>
    <row r="84">
      <c r="A84" s="773"/>
      <c r="B84" s="773"/>
      <c r="C84" s="773"/>
      <c r="E84" s="106" t="s">
        <v>277</v>
      </c>
      <c r="F84" s="762">
        <f>K85/K91*100%</f>
        <v>0.004963823143</v>
      </c>
      <c r="G84" s="107">
        <f t="shared" si="5"/>
        <v>74457347.15</v>
      </c>
      <c r="H84" s="763">
        <v>1.2E9</v>
      </c>
      <c r="I84" s="779">
        <f t="shared" si="6"/>
        <v>0.07894736842</v>
      </c>
      <c r="J84" s="760" t="s">
        <v>115</v>
      </c>
      <c r="K84" s="761">
        <v>6.263882818E9</v>
      </c>
      <c r="L84" s="760">
        <v>7308.0</v>
      </c>
      <c r="M84" s="761">
        <v>6.263882818E9</v>
      </c>
      <c r="N84" s="760">
        <v>7308.0</v>
      </c>
      <c r="P84" s="765">
        <v>45876.0</v>
      </c>
      <c r="Q84" s="760">
        <v>1.0</v>
      </c>
      <c r="R84" s="760" t="str">
        <f t="array" ref="R84">XLOOKUP(P84,Workflow!$S$6:$S$270,Workflow!$W$6:$W$270)</f>
        <v>P153</v>
      </c>
      <c r="T84" s="765">
        <v>45884.0</v>
      </c>
      <c r="U84" s="760">
        <v>1.0</v>
      </c>
      <c r="V84" s="760" t="str">
        <f t="array" ref="V84">XLOOKUP(T84,Workflow!$T$6:$T$270,Workflow!$W$6:$W$270)</f>
        <v>P131</v>
      </c>
    </row>
    <row r="85">
      <c r="A85" s="773"/>
      <c r="B85" s="773"/>
      <c r="C85" s="773"/>
      <c r="E85" s="106" t="s">
        <v>116</v>
      </c>
      <c r="F85" s="762"/>
      <c r="G85" s="107">
        <f t="shared" si="5"/>
        <v>0</v>
      </c>
      <c r="H85" s="763">
        <v>5.0E8</v>
      </c>
      <c r="I85" s="779">
        <f t="shared" si="6"/>
        <v>0.03289473684</v>
      </c>
      <c r="J85" s="760" t="s">
        <v>277</v>
      </c>
      <c r="K85" s="761">
        <v>5.2485E7</v>
      </c>
      <c r="L85" s="760">
        <v>55.0</v>
      </c>
      <c r="M85" s="761">
        <v>5.2485E7</v>
      </c>
      <c r="N85" s="760">
        <v>55.0</v>
      </c>
      <c r="P85" s="765">
        <v>45875.0</v>
      </c>
      <c r="Q85" s="760">
        <v>2.0</v>
      </c>
      <c r="R85" s="760" t="str">
        <f t="array" ref="R85">XLOOKUP(P85,Workflow!$S$6:$S$270,Workflow!$W$6:$W$270)</f>
        <v>P138</v>
      </c>
      <c r="T85" s="765">
        <v>45881.0</v>
      </c>
      <c r="U85" s="760">
        <v>1.0</v>
      </c>
      <c r="V85" s="760" t="str">
        <f t="array" ref="V85">XLOOKUP(T85,Workflow!$T$6:$T$270,Workflow!$W$6:$W$270)</f>
        <v>P167</v>
      </c>
    </row>
    <row r="86">
      <c r="A86" s="773"/>
      <c r="B86" s="773"/>
      <c r="C86" s="773"/>
      <c r="E86" s="106" t="s">
        <v>256</v>
      </c>
      <c r="F86" s="762">
        <f>K86/K91*100%</f>
        <v>0.003508770861</v>
      </c>
      <c r="G86" s="107">
        <f t="shared" si="5"/>
        <v>52631562.91</v>
      </c>
      <c r="H86" s="763">
        <v>1.0E9</v>
      </c>
      <c r="I86" s="779">
        <f t="shared" si="6"/>
        <v>0.06578947368</v>
      </c>
      <c r="J86" s="760" t="s">
        <v>256</v>
      </c>
      <c r="K86" s="761">
        <v>3.71E7</v>
      </c>
      <c r="L86" s="760">
        <v>91.0</v>
      </c>
      <c r="M86" s="761">
        <v>3.71E7</v>
      </c>
      <c r="N86" s="760">
        <v>91.0</v>
      </c>
      <c r="P86" s="765">
        <v>45872.0</v>
      </c>
      <c r="Q86" s="760">
        <v>1.0</v>
      </c>
      <c r="R86" s="760" t="str">
        <f t="array" ref="R86">XLOOKUP(P86,Workflow!$S$6:$S$270,Workflow!$W$6:$W$270)</f>
        <v>P144</v>
      </c>
      <c r="T86" s="765">
        <v>45880.0</v>
      </c>
      <c r="U86" s="760">
        <v>1.0</v>
      </c>
      <c r="V86" s="760" t="str">
        <f t="array" ref="V86">XLOOKUP(T86,Workflow!$T$6:$T$270,Workflow!$W$6:$W$270)</f>
        <v>P165</v>
      </c>
    </row>
    <row r="87">
      <c r="A87" s="773"/>
      <c r="B87" s="773"/>
      <c r="C87" s="773"/>
      <c r="E87" s="106" t="s">
        <v>357</v>
      </c>
      <c r="F87" s="762">
        <f>K87/K91*100%</f>
        <v>0.0674515688</v>
      </c>
      <c r="G87" s="107">
        <f t="shared" si="5"/>
        <v>1011773532</v>
      </c>
      <c r="H87" s="763">
        <v>1.0E9</v>
      </c>
      <c r="I87" s="779">
        <f t="shared" si="6"/>
        <v>0.06578947368</v>
      </c>
      <c r="J87" s="760" t="s">
        <v>357</v>
      </c>
      <c r="K87" s="761">
        <v>7.1319938E8</v>
      </c>
      <c r="L87" s="760">
        <v>1003.0</v>
      </c>
      <c r="M87" s="761">
        <v>7.1319938E8</v>
      </c>
      <c r="N87" s="760">
        <v>1003.0</v>
      </c>
      <c r="P87" s="765">
        <v>45871.0</v>
      </c>
      <c r="Q87" s="760">
        <v>1.0</v>
      </c>
      <c r="R87" s="760" t="str">
        <f t="array" ref="R87">XLOOKUP(P87,Workflow!$S$6:$S$270,Workflow!$W$6:$W$270)</f>
        <v>P148</v>
      </c>
      <c r="T87" s="765">
        <v>45879.0</v>
      </c>
      <c r="U87" s="760">
        <v>3.0</v>
      </c>
      <c r="V87" s="760" t="str">
        <f t="array" ref="V87">XLOOKUP(T87,Workflow!$T$6:$T$270,Workflow!$W$6:$W$270)</f>
        <v>P047</v>
      </c>
    </row>
    <row r="88">
      <c r="A88" s="773"/>
      <c r="B88" s="773"/>
      <c r="C88" s="773"/>
      <c r="E88" s="106" t="s">
        <v>764</v>
      </c>
      <c r="F88" s="762">
        <f>K88/K91*100%</f>
        <v>0.06052745694</v>
      </c>
      <c r="G88" s="107">
        <f t="shared" si="5"/>
        <v>907911854.1</v>
      </c>
      <c r="H88" s="763">
        <v>8.0E8</v>
      </c>
      <c r="I88" s="779">
        <f t="shared" si="6"/>
        <v>0.05263157895</v>
      </c>
      <c r="J88" s="760" t="s">
        <v>764</v>
      </c>
      <c r="K88" s="761">
        <v>6.39987261E8</v>
      </c>
      <c r="L88" s="760">
        <v>147.0</v>
      </c>
      <c r="M88" s="761">
        <v>6.39987261E8</v>
      </c>
      <c r="N88" s="760">
        <v>147.0</v>
      </c>
      <c r="P88" s="776">
        <v>45870.0</v>
      </c>
      <c r="Q88" s="760">
        <v>3.0</v>
      </c>
      <c r="R88" s="760" t="str">
        <f t="array" ref="R88">XLOOKUP(P88,Workflow!$S$6:$S$270,Workflow!$W$6:$W$270)</f>
        <v>P132</v>
      </c>
      <c r="T88" s="765">
        <v>45878.0</v>
      </c>
      <c r="U88" s="760">
        <v>3.0</v>
      </c>
      <c r="V88" s="760" t="str">
        <f t="array" ref="V88">XLOOKUP(T88,Workflow!$T$6:$T$270,Workflow!$W$6:$W$270)</f>
        <v>P107</v>
      </c>
    </row>
    <row r="89">
      <c r="A89" s="773"/>
      <c r="B89" s="773"/>
      <c r="C89" s="773"/>
      <c r="E89" s="106" t="s">
        <v>153</v>
      </c>
      <c r="F89" s="762">
        <f>K89/K91*100%</f>
        <v>0.01160349767</v>
      </c>
      <c r="G89" s="107">
        <f t="shared" si="5"/>
        <v>174052465</v>
      </c>
      <c r="H89" s="763">
        <v>1.0E9</v>
      </c>
      <c r="I89" s="779">
        <f t="shared" si="6"/>
        <v>0.06578947368</v>
      </c>
      <c r="J89" s="760" t="s">
        <v>153</v>
      </c>
      <c r="K89" s="761">
        <v>1.2268962E8</v>
      </c>
      <c r="L89" s="760">
        <v>1130.0</v>
      </c>
      <c r="M89" s="761">
        <v>1.2268962E8</v>
      </c>
      <c r="N89" s="760">
        <v>1130.0</v>
      </c>
      <c r="P89" s="765">
        <v>45864.0</v>
      </c>
      <c r="Q89" s="760">
        <v>1.0</v>
      </c>
      <c r="R89" s="760" t="str">
        <f t="array" ref="R89">XLOOKUP(P89,Workflow!$S$6:$S$270,Workflow!$W$6:$W$270)</f>
        <v>P137</v>
      </c>
      <c r="T89" s="765">
        <v>45877.0</v>
      </c>
      <c r="U89" s="760">
        <v>1.0</v>
      </c>
      <c r="V89" s="760" t="str">
        <f t="array" ref="V89">XLOOKUP(T89,Workflow!$T$6:$T$270,Workflow!$W$6:$W$270)</f>
        <v>P115</v>
      </c>
    </row>
    <row r="90">
      <c r="A90" s="773"/>
      <c r="B90" s="773"/>
      <c r="C90" s="773"/>
      <c r="E90" s="106" t="s">
        <v>162</v>
      </c>
      <c r="F90" s="762">
        <f>K90/K91*100%</f>
        <v>0.0255133894</v>
      </c>
      <c r="G90" s="107">
        <f t="shared" si="5"/>
        <v>382700841</v>
      </c>
      <c r="H90" s="763">
        <v>5.0E8</v>
      </c>
      <c r="I90" s="779">
        <f t="shared" si="6"/>
        <v>0.03289473684</v>
      </c>
      <c r="J90" s="760" t="s">
        <v>162</v>
      </c>
      <c r="K90" s="761">
        <v>2.69765905E8</v>
      </c>
      <c r="L90" s="760">
        <v>82.0</v>
      </c>
      <c r="M90" s="761">
        <v>2.69765905E8</v>
      </c>
      <c r="N90" s="760">
        <v>82.0</v>
      </c>
      <c r="P90" s="765">
        <v>45863.0</v>
      </c>
      <c r="Q90" s="760">
        <v>1.0</v>
      </c>
      <c r="R90" s="760" t="str">
        <f t="array" ref="R90">XLOOKUP(P90,Workflow!$S$6:$S$270,Workflow!$W$6:$W$270)</f>
        <v>P131</v>
      </c>
      <c r="T90" s="765">
        <v>45876.0</v>
      </c>
      <c r="U90" s="760">
        <v>1.0</v>
      </c>
      <c r="V90" s="760" t="str">
        <f t="array" ref="V90">XLOOKUP(T90,Workflow!$T$6:$T$270,Workflow!$W$6:$W$270)</f>
        <v>P153</v>
      </c>
    </row>
    <row r="91">
      <c r="A91" s="773"/>
      <c r="B91" s="773"/>
      <c r="C91" s="773"/>
      <c r="E91" s="106" t="s">
        <v>287</v>
      </c>
      <c r="G91" s="107">
        <f>X24+F91</f>
        <v>500000000</v>
      </c>
      <c r="H91" s="763">
        <v>5.0E8</v>
      </c>
      <c r="I91" s="779">
        <f t="shared" si="6"/>
        <v>0.03289473684</v>
      </c>
      <c r="J91" s="760" t="s">
        <v>1261</v>
      </c>
      <c r="K91" s="761">
        <v>1.0573503222E10</v>
      </c>
      <c r="L91" s="760">
        <v>10830.0</v>
      </c>
      <c r="M91" s="761">
        <v>1.0573503222E10</v>
      </c>
      <c r="N91" s="760">
        <v>10830.0</v>
      </c>
      <c r="P91" s="765">
        <v>45861.0</v>
      </c>
      <c r="Q91" s="760">
        <v>1.0</v>
      </c>
      <c r="R91" s="760" t="str">
        <f t="array" ref="R91">XLOOKUP(P91,Workflow!$S$6:$S$270,Workflow!$W$6:$W$270)</f>
        <v>P143</v>
      </c>
      <c r="T91" s="765">
        <v>45875.0</v>
      </c>
      <c r="U91" s="760">
        <v>2.0</v>
      </c>
      <c r="V91" s="760" t="str">
        <f t="array" ref="V91">XLOOKUP(T91,Workflow!$T$6:$T$270,Workflow!$W$6:$W$270)</f>
        <v>P138</v>
      </c>
    </row>
    <row r="92">
      <c r="A92" s="773"/>
      <c r="B92" s="773"/>
      <c r="C92" s="773"/>
      <c r="E92" s="780" t="s">
        <v>1281</v>
      </c>
      <c r="H92" s="763">
        <v>2.0E8</v>
      </c>
      <c r="I92" s="779">
        <f t="shared" si="6"/>
        <v>0.01315789474</v>
      </c>
      <c r="P92" s="765">
        <v>45856.0</v>
      </c>
      <c r="Q92" s="760">
        <v>2.0</v>
      </c>
      <c r="R92" s="760" t="str">
        <f t="array" ref="R92">XLOOKUP(P92,Workflow!$S$6:$S$270,Workflow!$W$6:$W$270)</f>
        <v>P105</v>
      </c>
      <c r="T92" s="765">
        <v>45872.0</v>
      </c>
      <c r="U92" s="760">
        <v>1.0</v>
      </c>
      <c r="V92" s="760" t="str">
        <f t="array" ref="V92">XLOOKUP(T92,Workflow!$T$6:$T$270,Workflow!$W$6:$W$270)</f>
        <v>P144</v>
      </c>
    </row>
    <row r="93">
      <c r="A93" s="773"/>
      <c r="B93" s="773"/>
      <c r="C93" s="773"/>
      <c r="F93" s="103"/>
      <c r="G93" s="107">
        <f>sum(G81:G91)</f>
        <v>15178544572</v>
      </c>
      <c r="H93" s="781">
        <f>sum(H81:H92)</f>
        <v>15200000000</v>
      </c>
      <c r="I93" s="782"/>
      <c r="P93" s="765">
        <v>45855.0</v>
      </c>
      <c r="Q93" s="760">
        <v>4.0</v>
      </c>
      <c r="R93" s="760" t="str">
        <f t="array" ref="R93">XLOOKUP(P93,Workflow!$S$6:$S$270,Workflow!$W$6:$W$270)</f>
        <v>P052</v>
      </c>
      <c r="T93" s="765">
        <v>45871.0</v>
      </c>
      <c r="U93" s="760">
        <v>4.0</v>
      </c>
      <c r="V93" s="760" t="str">
        <f t="array" ref="V93">XLOOKUP(T93,Workflow!$T$6:$T$270,Workflow!$W$6:$W$270)</f>
        <v>P132</v>
      </c>
    </row>
    <row r="94">
      <c r="A94" s="773"/>
      <c r="B94" s="773"/>
      <c r="C94" s="773"/>
      <c r="J94" s="760" t="s">
        <v>75</v>
      </c>
      <c r="K94" s="760" t="s">
        <v>93</v>
      </c>
      <c r="L94" s="760" t="s">
        <v>1277</v>
      </c>
      <c r="M94" s="760" t="s">
        <v>1277</v>
      </c>
      <c r="P94" s="765">
        <v>45853.0</v>
      </c>
      <c r="Q94" s="760">
        <v>1.0</v>
      </c>
      <c r="R94" s="760" t="str">
        <f t="array" ref="R94">XLOOKUP(P94,Workflow!$S$6:$S$270,Workflow!$W$6:$W$270)</f>
        <v>P123</v>
      </c>
      <c r="T94" s="765">
        <v>45870.0</v>
      </c>
      <c r="U94" s="760">
        <v>1.0</v>
      </c>
      <c r="V94" s="760" t="str">
        <f t="array" ref="V94">XLOOKUP(T94,Workflow!$T$6:$T$270,Workflow!$W$6:$W$270)</f>
        <v>P141</v>
      </c>
    </row>
    <row r="95">
      <c r="A95" s="773"/>
      <c r="B95" s="773"/>
      <c r="C95" s="773"/>
      <c r="J95" s="760"/>
      <c r="K95" s="760"/>
      <c r="L95" s="760">
        <v>0.0</v>
      </c>
      <c r="M95" s="760">
        <v>0.0</v>
      </c>
      <c r="P95" s="776">
        <v>45850.0</v>
      </c>
      <c r="Q95" s="760">
        <v>2.0</v>
      </c>
      <c r="R95" s="760" t="str">
        <f t="array" ref="R95">XLOOKUP(P95,Workflow!$S$6:$S$270,Workflow!$W$6:$W$270)</f>
        <v>P102</v>
      </c>
      <c r="T95" s="765">
        <v>45864.0</v>
      </c>
      <c r="U95" s="760">
        <v>1.0</v>
      </c>
      <c r="V95" s="760" t="str">
        <f t="array" ref="V95">XLOOKUP(T95,Workflow!$T$6:$T$270,Workflow!$W$6:$W$270)</f>
        <v>P137</v>
      </c>
    </row>
    <row r="96">
      <c r="A96" s="773"/>
      <c r="B96" s="773"/>
      <c r="C96" s="773"/>
      <c r="J96" s="760" t="s">
        <v>1282</v>
      </c>
      <c r="K96" s="760"/>
      <c r="L96" s="760">
        <v>0.0</v>
      </c>
      <c r="M96" s="760">
        <v>0.0</v>
      </c>
      <c r="P96" s="765">
        <v>45848.0</v>
      </c>
      <c r="Q96" s="760">
        <v>1.0</v>
      </c>
      <c r="R96" s="760" t="str">
        <f t="array" ref="R96">XLOOKUP(P96,Workflow!$S$6:$S$270,Workflow!$W$6:$W$270)</f>
        <v>P202</v>
      </c>
      <c r="T96" s="765">
        <v>45861.0</v>
      </c>
      <c r="U96" s="760">
        <v>1.0</v>
      </c>
      <c r="V96" s="760" t="str">
        <f t="array" ref="V96">XLOOKUP(T96,Workflow!$T$6:$T$270,Workflow!$W$6:$W$270)</f>
        <v>P143</v>
      </c>
    </row>
    <row r="97">
      <c r="A97" s="773"/>
      <c r="B97" s="773"/>
      <c r="C97" s="773"/>
      <c r="J97" s="760" t="s">
        <v>1283</v>
      </c>
      <c r="K97" s="760"/>
      <c r="L97" s="760">
        <v>1.0</v>
      </c>
      <c r="M97" s="760">
        <v>1.0</v>
      </c>
      <c r="P97" s="765">
        <v>45847.0</v>
      </c>
      <c r="Q97" s="760">
        <v>2.0</v>
      </c>
      <c r="R97" s="760" t="str">
        <f t="array" ref="R97">XLOOKUP(P97,Workflow!$S$6:$S$270,Workflow!$W$6:$W$270)</f>
        <v>P122</v>
      </c>
      <c r="T97" s="765">
        <v>45857.0</v>
      </c>
      <c r="U97" s="760">
        <v>4.0</v>
      </c>
      <c r="V97" s="760" t="str">
        <f t="array" ref="V97">XLOOKUP(T97,Workflow!$T$6:$T$270,Workflow!$W$6:$W$270)</f>
        <v>P052</v>
      </c>
    </row>
    <row r="98">
      <c r="A98" s="773"/>
      <c r="B98" s="773"/>
      <c r="C98" s="773"/>
      <c r="J98" s="760" t="s">
        <v>170</v>
      </c>
      <c r="K98" s="760" t="s">
        <v>29</v>
      </c>
      <c r="L98" s="760">
        <v>34.0</v>
      </c>
      <c r="M98" s="760">
        <v>34.0</v>
      </c>
      <c r="P98" s="765">
        <v>45842.0</v>
      </c>
      <c r="Q98" s="760">
        <v>1.0</v>
      </c>
      <c r="R98" s="760" t="str">
        <f t="array" ref="R98">XLOOKUP(P98,Workflow!$S$6:$S$270,Workflow!$W$6:$W$270)</f>
        <v>P135</v>
      </c>
      <c r="T98" s="765">
        <v>45856.0</v>
      </c>
      <c r="U98" s="760">
        <v>1.0</v>
      </c>
      <c r="V98" s="760" t="str">
        <f t="array" ref="V98">XLOOKUP(T98,Workflow!$T$6:$T$270,Workflow!$W$6:$W$270)</f>
        <v>P105</v>
      </c>
    </row>
    <row r="99">
      <c r="A99" s="773"/>
      <c r="B99" s="773"/>
      <c r="C99" s="773"/>
      <c r="J99" s="760"/>
      <c r="K99" s="760" t="s">
        <v>132</v>
      </c>
      <c r="L99" s="760">
        <v>32.0</v>
      </c>
      <c r="M99" s="760">
        <v>32.0</v>
      </c>
      <c r="P99" s="765">
        <v>45840.0</v>
      </c>
      <c r="Q99" s="760">
        <v>1.0</v>
      </c>
      <c r="R99" s="760" t="str">
        <f t="array" ref="R99">XLOOKUP(P99,Workflow!$S$6:$S$270,Workflow!$W$6:$W$270)</f>
        <v>P133</v>
      </c>
      <c r="T99" s="765">
        <v>45855.0</v>
      </c>
      <c r="U99" s="760">
        <v>1.0</v>
      </c>
      <c r="V99" s="760" t="str">
        <f t="array" ref="V99">XLOOKUP(T99,Workflow!$T$6:$T$270,Workflow!$W$6:$W$270)</f>
        <v>P117</v>
      </c>
    </row>
    <row r="100">
      <c r="A100" s="773"/>
      <c r="B100" s="773"/>
      <c r="C100" s="773"/>
      <c r="J100" s="760" t="s">
        <v>1284</v>
      </c>
      <c r="K100" s="760"/>
      <c r="L100" s="760">
        <v>66.0</v>
      </c>
      <c r="M100" s="760">
        <v>66.0</v>
      </c>
      <c r="P100" s="776">
        <v>45835.0</v>
      </c>
      <c r="Q100" s="760">
        <v>1.0</v>
      </c>
      <c r="R100" s="760" t="str">
        <f t="array" ref="R100">XLOOKUP(P100,Workflow!$S$6:$S$270,Workflow!$W$6:$W$270)</f>
        <v>P101</v>
      </c>
      <c r="T100" s="765">
        <v>45853.0</v>
      </c>
      <c r="U100" s="760">
        <v>1.0</v>
      </c>
      <c r="V100" s="760" t="str">
        <f t="array" ref="V100">XLOOKUP(T100,Workflow!$T$6:$T$270,Workflow!$W$6:$W$270)</f>
        <v>P123</v>
      </c>
    </row>
    <row r="101">
      <c r="A101" s="773"/>
      <c r="B101" s="773"/>
      <c r="C101" s="773"/>
      <c r="J101" s="760" t="s">
        <v>627</v>
      </c>
      <c r="K101" s="760" t="s">
        <v>132</v>
      </c>
      <c r="L101" s="760">
        <v>1.0</v>
      </c>
      <c r="M101" s="760">
        <v>1.0</v>
      </c>
      <c r="P101" s="765">
        <v>45834.0</v>
      </c>
      <c r="Q101" s="760">
        <v>1.0</v>
      </c>
      <c r="R101" s="760" t="str">
        <f t="array" ref="R101">XLOOKUP(P101,Workflow!$S$6:$S$270,Workflow!$W$6:$W$270)</f>
        <v>P085</v>
      </c>
      <c r="T101" s="765">
        <v>45852.0</v>
      </c>
      <c r="U101" s="760">
        <v>1.0</v>
      </c>
      <c r="V101" s="760" t="str">
        <f t="array" ref="V101">XLOOKUP(T101,Workflow!$T$6:$T$270,Workflow!$W$6:$W$270)</f>
        <v>P135</v>
      </c>
    </row>
    <row r="102">
      <c r="A102" s="773"/>
      <c r="B102" s="773"/>
      <c r="C102" s="773"/>
      <c r="J102" s="760" t="s">
        <v>1285</v>
      </c>
      <c r="K102" s="760"/>
      <c r="L102" s="760">
        <v>1.0</v>
      </c>
      <c r="M102" s="760">
        <v>1.0</v>
      </c>
      <c r="P102" s="765">
        <v>45829.0</v>
      </c>
      <c r="Q102" s="760">
        <v>2.0</v>
      </c>
      <c r="R102" s="760" t="str">
        <f t="array" ref="R102">XLOOKUP(P102,Workflow!$S$6:$S$270,Workflow!$W$6:$W$270)</f>
        <v>P075</v>
      </c>
      <c r="T102" s="765">
        <v>45851.0</v>
      </c>
      <c r="U102" s="760">
        <v>1.0</v>
      </c>
      <c r="V102" s="760" t="str">
        <f t="array" ref="V102">XLOOKUP(T102,Workflow!$T$6:$T$270,Workflow!$W$6:$W$270)</f>
        <v>P121</v>
      </c>
    </row>
    <row r="103">
      <c r="A103" s="773"/>
      <c r="B103" s="773"/>
      <c r="C103" s="773"/>
      <c r="J103" s="760" t="s">
        <v>441</v>
      </c>
      <c r="K103" s="760" t="s">
        <v>29</v>
      </c>
      <c r="L103" s="760">
        <v>6.0</v>
      </c>
      <c r="M103" s="760">
        <v>6.0</v>
      </c>
      <c r="P103" s="765">
        <v>45827.0</v>
      </c>
      <c r="Q103" s="760">
        <v>1.0</v>
      </c>
      <c r="R103" s="760" t="str">
        <f t="array" ref="R103">XLOOKUP(P103,Workflow!$S$6:$S$270,Workflow!$W$6:$W$270)</f>
        <v>P098</v>
      </c>
      <c r="T103" s="765">
        <v>45850.0</v>
      </c>
      <c r="U103" s="760">
        <v>1.0</v>
      </c>
      <c r="V103" s="760" t="str">
        <f t="array" ref="V103">XLOOKUP(T103,Workflow!$T$6:$T$270,Workflow!$W$6:$W$270)</f>
        <v>P102</v>
      </c>
    </row>
    <row r="104">
      <c r="A104" s="773"/>
      <c r="B104" s="773"/>
      <c r="C104" s="773"/>
      <c r="J104" s="760"/>
      <c r="K104" s="760" t="s">
        <v>132</v>
      </c>
      <c r="L104" s="760">
        <v>11.0</v>
      </c>
      <c r="M104" s="760">
        <v>11.0</v>
      </c>
      <c r="P104" s="765">
        <v>45823.0</v>
      </c>
      <c r="Q104" s="760">
        <v>1.0</v>
      </c>
      <c r="R104" s="760" t="str">
        <f t="array" ref="R104">XLOOKUP(P104,Workflow!$S$6:$S$270,Workflow!$W$6:$W$270)</f>
        <v>P095</v>
      </c>
      <c r="T104" s="765">
        <v>45848.0</v>
      </c>
      <c r="U104" s="760">
        <v>1.0</v>
      </c>
      <c r="V104" s="760" t="str">
        <f t="array" ref="V104">XLOOKUP(T104,Workflow!$T$6:$T$270,Workflow!$W$6:$W$270)</f>
        <v>P202</v>
      </c>
    </row>
    <row r="105">
      <c r="A105" s="773"/>
      <c r="B105" s="773"/>
      <c r="C105" s="773"/>
      <c r="J105" s="760" t="s">
        <v>1286</v>
      </c>
      <c r="K105" s="760"/>
      <c r="L105" s="760">
        <v>17.0</v>
      </c>
      <c r="M105" s="760">
        <v>17.0</v>
      </c>
      <c r="P105" s="765">
        <v>45822.0</v>
      </c>
      <c r="Q105" s="760">
        <v>2.0</v>
      </c>
      <c r="R105" s="760" t="str">
        <f t="array" ref="R105">XLOOKUP(P105,Workflow!$S$6:$S$270,Workflow!$W$6:$W$270)</f>
        <v>P094</v>
      </c>
      <c r="T105" s="765">
        <v>45847.0</v>
      </c>
      <c r="U105" s="760">
        <v>2.0</v>
      </c>
      <c r="V105" s="760" t="str">
        <f t="array" ref="V105">XLOOKUP(T105,Workflow!$T$6:$T$270,Workflow!$W$6:$W$270)</f>
        <v>P122</v>
      </c>
    </row>
    <row r="106">
      <c r="J106" s="760" t="s">
        <v>116</v>
      </c>
      <c r="K106" s="760" t="s">
        <v>29</v>
      </c>
      <c r="L106" s="760">
        <v>27.0</v>
      </c>
      <c r="M106" s="760">
        <v>27.0</v>
      </c>
      <c r="P106" s="765">
        <v>45821.0</v>
      </c>
      <c r="Q106" s="760">
        <v>2.0</v>
      </c>
      <c r="R106" s="760" t="str">
        <f t="array" ref="R106">XLOOKUP(P106,Workflow!$S$6:$S$270,Workflow!$W$6:$W$270)</f>
        <v>P170</v>
      </c>
      <c r="T106" s="765">
        <v>45837.0</v>
      </c>
      <c r="U106" s="760">
        <v>1.0</v>
      </c>
      <c r="V106" s="760" t="str">
        <f t="array" ref="V106">XLOOKUP(T106,Workflow!$T$6:$T$270,Workflow!$W$6:$W$270)</f>
        <v>P101</v>
      </c>
    </row>
    <row r="107">
      <c r="J107" s="760"/>
      <c r="K107" s="760" t="s">
        <v>132</v>
      </c>
      <c r="L107" s="760">
        <v>23.0</v>
      </c>
      <c r="M107" s="760">
        <v>23.0</v>
      </c>
      <c r="P107" s="765">
        <v>45815.0</v>
      </c>
      <c r="Q107" s="760">
        <v>2.0</v>
      </c>
      <c r="R107" s="760" t="str">
        <f t="array" ref="R107">XLOOKUP(P107,Workflow!$S$6:$S$270,Workflow!$W$6:$W$270)</f>
        <v>P064</v>
      </c>
      <c r="T107" s="765">
        <v>45830.0</v>
      </c>
      <c r="U107" s="760">
        <v>1.0</v>
      </c>
      <c r="V107" s="760" t="str">
        <f t="array" ref="V107">XLOOKUP(T107,Workflow!$T$6:$T$270,Workflow!$W$6:$W$270)</f>
        <v>P098</v>
      </c>
    </row>
    <row r="108">
      <c r="J108" s="760" t="s">
        <v>1287</v>
      </c>
      <c r="K108" s="760"/>
      <c r="L108" s="760">
        <v>50.0</v>
      </c>
      <c r="M108" s="760">
        <v>50.0</v>
      </c>
      <c r="P108" s="765">
        <v>45812.0</v>
      </c>
      <c r="Q108" s="760">
        <v>1.0</v>
      </c>
      <c r="R108" s="760" t="str">
        <f t="array" ref="R108">XLOOKUP(P108,Workflow!$S$6:$S$270,Workflow!$W$6:$W$270)</f>
        <v>P056</v>
      </c>
      <c r="T108" s="765">
        <v>45829.0</v>
      </c>
      <c r="U108" s="760">
        <v>2.0</v>
      </c>
      <c r="V108" s="760" t="str">
        <f t="array" ref="V108">XLOOKUP(T108,Workflow!$T$6:$T$270,Workflow!$W$6:$W$270)</f>
        <v>P075</v>
      </c>
    </row>
    <row r="109">
      <c r="J109" s="760" t="s">
        <v>256</v>
      </c>
      <c r="K109" s="760" t="s">
        <v>29</v>
      </c>
      <c r="L109" s="760">
        <v>1.0</v>
      </c>
      <c r="M109" s="760">
        <v>1.0</v>
      </c>
      <c r="P109" s="765">
        <v>45809.0</v>
      </c>
      <c r="Q109" s="760">
        <v>3.0</v>
      </c>
      <c r="R109" s="760" t="str">
        <f t="array" ref="R109">XLOOKUP(P109,Workflow!$S$6:$S$270,Workflow!$W$6:$W$270)</f>
        <v>P081</v>
      </c>
      <c r="T109" s="765">
        <v>45823.0</v>
      </c>
      <c r="U109" s="760">
        <v>1.0</v>
      </c>
      <c r="V109" s="760" t="str">
        <f t="array" ref="V109">XLOOKUP(T109,Workflow!$T$6:$T$270,Workflow!$W$6:$W$270)</f>
        <v>P095</v>
      </c>
    </row>
    <row r="110">
      <c r="J110" s="760" t="s">
        <v>1288</v>
      </c>
      <c r="K110" s="760"/>
      <c r="L110" s="760">
        <v>1.0</v>
      </c>
      <c r="M110" s="760">
        <v>1.0</v>
      </c>
      <c r="P110" s="765">
        <v>45805.0</v>
      </c>
      <c r="Q110" s="760">
        <v>2.0</v>
      </c>
      <c r="R110" s="760" t="str">
        <f t="array" ref="R110">XLOOKUP(P110,Workflow!$S$6:$S$270,Workflow!$W$6:$W$270)</f>
        <v>P119</v>
      </c>
      <c r="T110" s="765">
        <v>45822.0</v>
      </c>
      <c r="U110" s="760">
        <v>2.0</v>
      </c>
      <c r="V110" s="760" t="str">
        <f t="array" ref="V110">XLOOKUP(T110,Workflow!$T$6:$T$270,Workflow!$W$6:$W$270)</f>
        <v>P094</v>
      </c>
    </row>
    <row r="111">
      <c r="J111" s="760" t="s">
        <v>192</v>
      </c>
      <c r="K111" s="760" t="s">
        <v>29</v>
      </c>
      <c r="L111" s="760">
        <v>11.0</v>
      </c>
      <c r="M111" s="760">
        <v>11.0</v>
      </c>
      <c r="P111" s="765">
        <v>45802.0</v>
      </c>
      <c r="Q111" s="760">
        <v>1.0</v>
      </c>
      <c r="R111" s="760" t="str">
        <f t="array" ref="R111">XLOOKUP(P111,Workflow!$S$6:$S$270,Workflow!$W$6:$W$270)</f>
        <v>P082</v>
      </c>
      <c r="T111" s="765">
        <v>45821.0</v>
      </c>
      <c r="U111" s="760">
        <v>2.0</v>
      </c>
      <c r="V111" s="760" t="str">
        <f t="array" ref="V111">XLOOKUP(T111,Workflow!$T$6:$T$270,Workflow!$W$6:$W$270)</f>
        <v>P170</v>
      </c>
    </row>
    <row r="112">
      <c r="J112" s="760"/>
      <c r="K112" s="760" t="s">
        <v>132</v>
      </c>
      <c r="L112" s="760">
        <v>34.0</v>
      </c>
      <c r="M112" s="760">
        <v>34.0</v>
      </c>
      <c r="P112" s="765">
        <v>45800.0</v>
      </c>
      <c r="Q112" s="760">
        <v>1.0</v>
      </c>
      <c r="R112" s="760" t="str">
        <f t="array" ref="R112">XLOOKUP(P112,Workflow!$S$6:$S$270,Workflow!$W$6:$W$270)</f>
        <v>P093</v>
      </c>
      <c r="T112" s="776">
        <v>45820.0</v>
      </c>
      <c r="U112" s="760">
        <v>1.0</v>
      </c>
      <c r="V112" s="760" t="str">
        <f t="array" ref="V112">XLOOKUP(T112,Workflow!$T$6:$T$270,Workflow!$W$6:$W$270)</f>
        <v>P092</v>
      </c>
    </row>
    <row r="113">
      <c r="J113" s="760" t="s">
        <v>1289</v>
      </c>
      <c r="K113" s="760"/>
      <c r="L113" s="760">
        <v>45.0</v>
      </c>
      <c r="M113" s="760">
        <v>45.0</v>
      </c>
      <c r="P113" s="765">
        <v>45796.0</v>
      </c>
      <c r="Q113" s="760">
        <v>2.0</v>
      </c>
      <c r="R113" s="760" t="str">
        <f t="array" ref="R113">XLOOKUP(P113,Workflow!$S$6:$S$270,Workflow!$W$6:$W$270)</f>
        <v>P065</v>
      </c>
      <c r="T113" s="765">
        <v>45816.0</v>
      </c>
      <c r="U113" s="760">
        <v>1.0</v>
      </c>
      <c r="V113" s="760" t="str">
        <f t="array" ref="V113">XLOOKUP(T113,Workflow!$T$6:$T$270,Workflow!$W$6:$W$270)</f>
        <v>P109</v>
      </c>
    </row>
    <row r="114">
      <c r="J114" s="760" t="s">
        <v>153</v>
      </c>
      <c r="K114" s="760" t="s">
        <v>29</v>
      </c>
      <c r="L114" s="760">
        <v>8.0</v>
      </c>
      <c r="M114" s="760">
        <v>8.0</v>
      </c>
      <c r="P114" s="765">
        <v>45794.0</v>
      </c>
      <c r="Q114" s="760">
        <v>1.0</v>
      </c>
      <c r="R114" s="760" t="str">
        <f t="array" ref="R114">XLOOKUP(P114,Workflow!$S$6:$S$270,Workflow!$W$6:$W$270)</f>
        <v>P048</v>
      </c>
      <c r="T114" s="765">
        <v>45815.0</v>
      </c>
      <c r="U114" s="760">
        <v>1.0</v>
      </c>
      <c r="V114" s="760" t="str">
        <f t="array" ref="V114">XLOOKUP(T114,Workflow!$T$6:$T$270,Workflow!$W$6:$W$270)</f>
        <v>P064</v>
      </c>
    </row>
    <row r="115">
      <c r="J115" s="760"/>
      <c r="K115" s="760" t="s">
        <v>132</v>
      </c>
      <c r="L115" s="760">
        <v>4.0</v>
      </c>
      <c r="M115" s="760">
        <v>4.0</v>
      </c>
      <c r="P115" s="783">
        <v>45791.0</v>
      </c>
      <c r="Q115" s="760">
        <v>1.0</v>
      </c>
      <c r="R115" s="760" t="str">
        <f t="array" ref="R115">XLOOKUP(P115,Workflow!$S$6:$S$270,Workflow!$W$6:$W$270)</f>
        <v>P092</v>
      </c>
      <c r="T115" s="765">
        <v>45812.0</v>
      </c>
      <c r="U115" s="760">
        <v>1.0</v>
      </c>
      <c r="V115" s="760" t="str">
        <f t="array" ref="V115">XLOOKUP(T115,Workflow!$T$6:$T$270,Workflow!$W$6:$W$270)</f>
        <v>P056</v>
      </c>
    </row>
    <row r="116">
      <c r="J116" s="760" t="s">
        <v>1290</v>
      </c>
      <c r="K116" s="760"/>
      <c r="L116" s="760">
        <v>12.0</v>
      </c>
      <c r="M116" s="760">
        <v>12.0</v>
      </c>
      <c r="P116" s="765">
        <v>45787.0</v>
      </c>
      <c r="Q116" s="760">
        <v>1.0</v>
      </c>
      <c r="R116" s="760" t="str">
        <f t="array" ref="R116">XLOOKUP(P116,Workflow!$S$6:$S$270,Workflow!$W$6:$W$270)</f>
        <v>P096</v>
      </c>
      <c r="T116" s="765">
        <v>45810.0</v>
      </c>
      <c r="U116" s="760">
        <v>1.0</v>
      </c>
      <c r="V116" s="760" t="str">
        <f t="array" ref="V116">XLOOKUP(T116,Workflow!$T$6:$T$270,Workflow!$W$6:$W$270)</f>
        <v>P087</v>
      </c>
    </row>
    <row r="117">
      <c r="J117" s="760" t="s">
        <v>162</v>
      </c>
      <c r="K117" s="760" t="s">
        <v>29</v>
      </c>
      <c r="L117" s="760">
        <v>33.0</v>
      </c>
      <c r="M117" s="760">
        <v>33.0</v>
      </c>
      <c r="P117" s="765">
        <v>45783.0</v>
      </c>
      <c r="Q117" s="760">
        <v>1.0</v>
      </c>
      <c r="R117" s="760" t="str">
        <f t="array" ref="R117">XLOOKUP(P117,Workflow!$S$6:$S$270,Workflow!$W$6:$W$270)</f>
        <v>P090</v>
      </c>
      <c r="T117" s="765">
        <v>45807.0</v>
      </c>
      <c r="U117" s="760">
        <v>1.0</v>
      </c>
      <c r="V117" s="760" t="str">
        <f t="array" ref="V117">XLOOKUP(T117,Workflow!$T$6:$T$270,Workflow!$W$6:$W$270)</f>
        <v>P097</v>
      </c>
    </row>
    <row r="118">
      <c r="J118" s="760"/>
      <c r="K118" s="760" t="s">
        <v>132</v>
      </c>
      <c r="L118" s="760">
        <v>11.0</v>
      </c>
      <c r="M118" s="760">
        <v>11.0</v>
      </c>
      <c r="P118" s="765">
        <v>45776.0</v>
      </c>
      <c r="Q118" s="760">
        <v>1.0</v>
      </c>
      <c r="R118" s="760" t="str">
        <f t="array" ref="R118">XLOOKUP(P118,Workflow!$S$6:$S$270,Workflow!$W$6:$W$270)</f>
        <v>P088</v>
      </c>
      <c r="T118" s="765">
        <v>45806.0</v>
      </c>
      <c r="U118" s="760">
        <v>1.0</v>
      </c>
      <c r="V118" s="760" t="str">
        <f t="array" ref="V118">XLOOKUP(T118,Workflow!$T$6:$T$270,Workflow!$W$6:$W$270)</f>
        <v>P119</v>
      </c>
    </row>
    <row r="119">
      <c r="J119" s="760" t="s">
        <v>1291</v>
      </c>
      <c r="K119" s="760"/>
      <c r="L119" s="760">
        <v>44.0</v>
      </c>
      <c r="M119" s="760">
        <v>44.0</v>
      </c>
      <c r="P119" s="765">
        <v>45769.0</v>
      </c>
      <c r="Q119" s="760">
        <v>1.0</v>
      </c>
      <c r="R119" s="760" t="str">
        <f t="array" ref="R119">XLOOKUP(P119,Workflow!$S$6:$S$270,Workflow!$W$6:$W$270)</f>
        <v>P086</v>
      </c>
      <c r="T119" s="784">
        <v>45800.0</v>
      </c>
      <c r="U119" s="760">
        <v>1.0</v>
      </c>
      <c r="V119" s="760" t="str">
        <f t="array" ref="V119">XLOOKUP(T119,Workflow!$T$6:$T$270,Workflow!$W$6:$W$270)</f>
        <v>P093</v>
      </c>
    </row>
    <row r="120">
      <c r="J120" s="760" t="s">
        <v>287</v>
      </c>
      <c r="K120" s="760" t="s">
        <v>29</v>
      </c>
      <c r="L120" s="760">
        <v>21.0</v>
      </c>
      <c r="M120" s="760">
        <v>21.0</v>
      </c>
      <c r="P120" s="765">
        <v>45768.0</v>
      </c>
      <c r="Q120" s="760">
        <v>1.0</v>
      </c>
      <c r="R120" s="760" t="str">
        <f t="array" ref="R120">XLOOKUP(P120,Workflow!$S$6:$S$270,Workflow!$W$6:$W$270)</f>
        <v>P074</v>
      </c>
      <c r="T120" s="765">
        <v>45797.0</v>
      </c>
      <c r="U120" s="760">
        <v>1.0</v>
      </c>
      <c r="V120" s="760" t="str">
        <f t="array" ref="V120">XLOOKUP(T120,Workflow!$T$6:$T$270,Workflow!$W$6:$W$270)</f>
        <v>P065</v>
      </c>
    </row>
    <row r="121">
      <c r="J121" s="760"/>
      <c r="K121" s="760" t="s">
        <v>132</v>
      </c>
      <c r="L121" s="760">
        <v>6.0</v>
      </c>
      <c r="M121" s="760">
        <v>6.0</v>
      </c>
      <c r="P121" s="765">
        <v>45767.0</v>
      </c>
      <c r="Q121" s="760">
        <v>2.0</v>
      </c>
      <c r="R121" s="760" t="str">
        <f t="array" ref="R121">XLOOKUP(P121,Workflow!$S$6:$S$270,Workflow!$W$6:$W$270)</f>
        <v>P076</v>
      </c>
      <c r="T121" s="765">
        <v>45796.0</v>
      </c>
      <c r="U121" s="760">
        <v>1.0</v>
      </c>
      <c r="V121" s="760" t="str">
        <f t="array" ref="V121">XLOOKUP(T121,Workflow!$T$6:$T$270,Workflow!$W$6:$W$270)</f>
        <v>P089</v>
      </c>
    </row>
    <row r="122">
      <c r="J122" s="760" t="s">
        <v>1292</v>
      </c>
      <c r="K122" s="760"/>
      <c r="L122" s="760">
        <v>27.0</v>
      </c>
      <c r="M122" s="760">
        <v>27.0</v>
      </c>
      <c r="P122" s="765">
        <v>45764.0</v>
      </c>
      <c r="Q122" s="760">
        <v>2.0</v>
      </c>
      <c r="R122" s="760" t="str">
        <f t="array" ref="R122">XLOOKUP(P122,Workflow!$S$6:$S$270,Workflow!$W$6:$W$270)</f>
        <v>P051</v>
      </c>
      <c r="T122" s="765">
        <v>45795.0</v>
      </c>
      <c r="U122" s="760">
        <v>1.0</v>
      </c>
      <c r="V122" s="760" t="str">
        <f t="array" ref="V122">XLOOKUP(T122,Workflow!$T$6:$T$270,Workflow!$W$6:$W$270)</f>
        <v>P048</v>
      </c>
    </row>
    <row r="123">
      <c r="J123" s="760" t="s">
        <v>1261</v>
      </c>
      <c r="K123" s="760"/>
      <c r="L123" s="760">
        <v>264.0</v>
      </c>
      <c r="M123" s="760">
        <v>264.0</v>
      </c>
      <c r="P123" s="765">
        <v>45762.0</v>
      </c>
      <c r="Q123" s="760">
        <v>1.0</v>
      </c>
      <c r="R123" s="760" t="str">
        <f t="array" ref="R123">XLOOKUP(P123,Workflow!$S$6:$S$270,Workflow!$W$6:$W$270)</f>
        <v>P078</v>
      </c>
      <c r="T123" s="765">
        <v>45788.0</v>
      </c>
      <c r="U123" s="760">
        <v>1.0</v>
      </c>
      <c r="V123" s="760" t="str">
        <f t="array" ref="V123">XLOOKUP(T123,Workflow!$T$6:$T$270,Workflow!$W$6:$W$270)</f>
        <v>P096</v>
      </c>
    </row>
    <row r="124">
      <c r="P124" s="765">
        <v>45757.0</v>
      </c>
      <c r="Q124" s="760">
        <v>1.0</v>
      </c>
      <c r="R124" s="760" t="str">
        <f t="array" ref="R124">XLOOKUP(P124,Workflow!$S$6:$S$270,Workflow!$W$6:$W$270)</f>
        <v>P034</v>
      </c>
      <c r="T124" s="765">
        <v>45783.0</v>
      </c>
      <c r="U124" s="760">
        <v>1.0</v>
      </c>
      <c r="V124" s="760" t="str">
        <f t="array" ref="V124">XLOOKUP(T124,Workflow!$T$6:$T$270,Workflow!$W$6:$W$270)</f>
        <v>P090</v>
      </c>
    </row>
    <row r="125">
      <c r="P125" s="765">
        <v>45756.0</v>
      </c>
      <c r="Q125" s="760">
        <v>1.0</v>
      </c>
      <c r="R125" s="760" t="str">
        <f t="array" ref="R125">XLOOKUP(P125,Workflow!$S$6:$S$270,Workflow!$W$6:$W$270)</f>
        <v>P077</v>
      </c>
      <c r="T125" s="765">
        <v>45776.0</v>
      </c>
      <c r="U125" s="760">
        <v>1.0</v>
      </c>
      <c r="V125" s="760" t="str">
        <f t="array" ref="V125">XLOOKUP(T125,Workflow!$T$6:$T$270,Workflow!$W$6:$W$270)</f>
        <v>P088</v>
      </c>
    </row>
    <row r="126">
      <c r="P126" s="765">
        <v>45748.0</v>
      </c>
      <c r="Q126" s="760">
        <v>1.0</v>
      </c>
      <c r="R126" s="760" t="str">
        <f t="array" ref="R126">XLOOKUP(P126,Workflow!$S$6:$S$270,Workflow!$W$6:$W$270)</f>
        <v>P002</v>
      </c>
      <c r="T126" s="765">
        <v>45770.0</v>
      </c>
      <c r="U126" s="760">
        <v>2.0</v>
      </c>
      <c r="V126" s="760" t="str">
        <f t="array" ref="V126">XLOOKUP(T126,Workflow!$T$6:$T$270,Workflow!$W$6:$W$270)</f>
        <v>P074</v>
      </c>
    </row>
    <row r="127">
      <c r="P127" s="765">
        <v>45740.0</v>
      </c>
      <c r="Q127" s="760">
        <v>1.0</v>
      </c>
      <c r="R127" s="760" t="str">
        <f t="array" ref="R127">XLOOKUP(P127,Workflow!$S$6:$S$270,Workflow!$W$6:$W$270)</f>
        <v>P071</v>
      </c>
      <c r="T127" s="765">
        <v>45767.0</v>
      </c>
      <c r="U127" s="760">
        <v>1.0</v>
      </c>
      <c r="V127" s="760" t="str">
        <f t="array" ref="V127">XLOOKUP(T127,Workflow!$T$6:$T$270,Workflow!$W$6:$W$270)</f>
        <v>P076</v>
      </c>
    </row>
    <row r="128">
      <c r="P128" s="765">
        <v>45738.0</v>
      </c>
      <c r="Q128" s="760">
        <v>1.0</v>
      </c>
      <c r="R128" s="760" t="str">
        <f t="array" ref="R128">XLOOKUP(P128,Workflow!$S$6:$S$270,Workflow!$W$6:$W$270)</f>
        <v>P072</v>
      </c>
      <c r="T128" s="765">
        <v>45766.0</v>
      </c>
      <c r="U128" s="760">
        <v>1.0</v>
      </c>
      <c r="V128" s="760" t="str">
        <f t="array" ref="V128">XLOOKUP(T128,Workflow!$T$6:$T$270,Workflow!$W$6:$W$270)</f>
        <v>P051</v>
      </c>
    </row>
    <row r="129">
      <c r="P129" s="765">
        <v>45729.0</v>
      </c>
      <c r="Q129" s="760">
        <v>1.0</v>
      </c>
      <c r="R129" s="760" t="str">
        <f t="array" ref="R129">XLOOKUP(P129,Workflow!$S$6:$S$270,Workflow!$W$6:$W$270)</f>
        <v>P010</v>
      </c>
      <c r="T129" s="765">
        <v>45764.0</v>
      </c>
      <c r="U129" s="760">
        <v>1.0</v>
      </c>
      <c r="V129" s="760" t="str">
        <f t="array" ref="V129">XLOOKUP(T129,Workflow!$T$6:$T$270,Workflow!$W$6:$W$270)</f>
        <v>P079</v>
      </c>
    </row>
    <row r="130">
      <c r="P130" s="765">
        <v>45717.0</v>
      </c>
      <c r="Q130" s="760">
        <v>1.0</v>
      </c>
      <c r="R130" s="760" t="str">
        <f t="array" ref="R130">XLOOKUP(P130,Workflow!$S$6:$S$270,Workflow!$W$6:$W$270)</f>
        <v>P017</v>
      </c>
      <c r="T130" s="765">
        <v>45762.0</v>
      </c>
      <c r="U130" s="760">
        <v>1.0</v>
      </c>
      <c r="V130" s="760" t="str">
        <f t="array" ref="V130">XLOOKUP(T130,Workflow!$T$6:$T$270,Workflow!$W$6:$W$270)</f>
        <v>P078</v>
      </c>
    </row>
    <row r="131">
      <c r="P131" s="765">
        <v>45716.0</v>
      </c>
      <c r="Q131" s="760">
        <v>1.0</v>
      </c>
      <c r="R131" s="760" t="str">
        <f t="array" ref="R131">XLOOKUP(P131,Workflow!$S$6:$S$270,Workflow!$W$6:$W$270)</f>
        <v>P035</v>
      </c>
      <c r="T131" s="765">
        <v>45759.0</v>
      </c>
      <c r="U131" s="760">
        <v>1.0</v>
      </c>
      <c r="V131" s="760" t="str">
        <f t="array" ref="V131">XLOOKUP(T131,Workflow!$T$6:$T$270,Workflow!$W$6:$W$270)</f>
        <v>P034</v>
      </c>
    </row>
    <row r="132">
      <c r="P132" s="765">
        <v>45715.0</v>
      </c>
      <c r="Q132" s="760">
        <v>1.0</v>
      </c>
      <c r="R132" s="760" t="str">
        <f t="array" ref="R132">XLOOKUP(P132,Workflow!$S$6:$S$270,Workflow!$W$6:$W$270)</f>
        <v>P046</v>
      </c>
      <c r="T132" s="765">
        <v>45756.0</v>
      </c>
      <c r="U132" s="760">
        <v>1.0</v>
      </c>
      <c r="V132" s="760" t="str">
        <f t="array" ref="V132">XLOOKUP(T132,Workflow!$T$6:$T$270,Workflow!$W$6:$W$270)</f>
        <v>P077</v>
      </c>
    </row>
    <row r="133">
      <c r="P133" s="765">
        <v>45714.0</v>
      </c>
      <c r="Q133" s="760">
        <v>2.0</v>
      </c>
      <c r="R133" s="760" t="str">
        <f t="array" ref="R133">XLOOKUP(P133,Workflow!$S$6:$S$270,Workflow!$W$6:$W$270)</f>
        <v>P061</v>
      </c>
      <c r="T133" s="765">
        <v>45748.0</v>
      </c>
      <c r="U133" s="760">
        <v>1.0</v>
      </c>
      <c r="V133" s="760" t="str">
        <f t="array" ref="V133">XLOOKUP(T133,Workflow!$T$6:$T$270,Workflow!$W$6:$W$270)</f>
        <v>P002</v>
      </c>
    </row>
    <row r="134">
      <c r="P134" s="765">
        <v>45713.0</v>
      </c>
      <c r="Q134" s="760">
        <v>1.0</v>
      </c>
      <c r="R134" s="760" t="str">
        <f t="array" ref="R134">XLOOKUP(P134,Workflow!$S$6:$S$270,Workflow!$W$6:$W$270)</f>
        <v>P049</v>
      </c>
      <c r="T134" s="765">
        <v>45741.0</v>
      </c>
      <c r="U134" s="760">
        <v>1.0</v>
      </c>
      <c r="V134" s="760" t="str">
        <f t="array" ref="V134">XLOOKUP(T134,Workflow!$T$6:$T$270,Workflow!$W$6:$W$270)</f>
        <v>P071</v>
      </c>
    </row>
    <row r="135">
      <c r="P135" s="765">
        <v>45711.0</v>
      </c>
      <c r="Q135" s="760">
        <v>2.0</v>
      </c>
      <c r="R135" s="760" t="str">
        <f t="array" ref="R135">XLOOKUP(P135,Workflow!$S$6:$S$270,Workflow!$W$6:$W$270)</f>
        <v>P045</v>
      </c>
      <c r="T135" s="765">
        <v>45739.0</v>
      </c>
      <c r="U135" s="760">
        <v>1.0</v>
      </c>
      <c r="V135" s="760" t="str">
        <f t="array" ref="V135">XLOOKUP(T135,Workflow!$T$6:$T$270,Workflow!$W$6:$W$270)</f>
        <v>P072</v>
      </c>
    </row>
    <row r="136">
      <c r="P136" s="765">
        <v>45710.0</v>
      </c>
      <c r="Q136" s="760">
        <v>1.0</v>
      </c>
      <c r="R136" s="760" t="str">
        <f t="array" ref="R136">XLOOKUP(P136,Workflow!$S$6:$S$270,Workflow!$W$6:$W$270)</f>
        <v>P067</v>
      </c>
      <c r="T136" s="765">
        <v>45729.0</v>
      </c>
      <c r="U136" s="760">
        <v>1.0</v>
      </c>
      <c r="V136" s="760" t="str">
        <f t="array" ref="V136">XLOOKUP(T136,Workflow!$T$6:$T$270,Workflow!$W$6:$W$270)</f>
        <v>P010</v>
      </c>
    </row>
    <row r="137">
      <c r="P137" s="765">
        <v>45709.0</v>
      </c>
      <c r="Q137" s="760">
        <v>7.0</v>
      </c>
      <c r="R137" s="760" t="str">
        <f t="array" ref="R137">XLOOKUP(P137,Workflow!$S$6:$S$270,Workflow!$W$6:$W$270)</f>
        <v>P004</v>
      </c>
      <c r="T137" s="765">
        <v>45717.0</v>
      </c>
      <c r="U137" s="760">
        <v>1.0</v>
      </c>
      <c r="V137" s="760" t="str">
        <f t="array" ref="V137">XLOOKUP(T137,Workflow!$T$6:$T$270,Workflow!$W$6:$W$270)</f>
        <v>P017</v>
      </c>
    </row>
    <row r="138">
      <c r="P138" s="765">
        <v>45708.0</v>
      </c>
      <c r="Q138" s="760">
        <v>3.0</v>
      </c>
      <c r="R138" s="760" t="str">
        <f t="array" ref="R138">XLOOKUP(P138,Workflow!$S$6:$S$270,Workflow!$W$6:$W$270)</f>
        <v>P011</v>
      </c>
      <c r="T138" s="765">
        <v>45716.0</v>
      </c>
      <c r="U138" s="760">
        <v>3.0</v>
      </c>
      <c r="V138" s="760" t="str">
        <f t="array" ref="V138">XLOOKUP(T138,Workflow!$T$6:$T$270,Workflow!$W$6:$W$270)</f>
        <v>P049</v>
      </c>
    </row>
    <row r="139">
      <c r="P139" s="765">
        <v>45705.0</v>
      </c>
      <c r="Q139" s="760">
        <v>2.0</v>
      </c>
      <c r="R139" s="760" t="str">
        <f t="array" ref="R139">XLOOKUP(P139,Workflow!$S$6:$S$270,Workflow!$W$6:$W$270)</f>
        <v>P018</v>
      </c>
      <c r="T139" s="765">
        <v>45714.0</v>
      </c>
      <c r="U139" s="760">
        <v>2.0</v>
      </c>
      <c r="V139" s="760" t="str">
        <f t="array" ref="V139">XLOOKUP(T139,Workflow!$T$6:$T$270,Workflow!$W$6:$W$270)</f>
        <v>P061</v>
      </c>
    </row>
    <row r="140">
      <c r="P140" s="765">
        <v>45702.0</v>
      </c>
      <c r="Q140" s="760">
        <v>2.0</v>
      </c>
      <c r="R140" s="760" t="str">
        <f t="array" ref="R140">XLOOKUP(P140,Workflow!$S$6:$S$270,Workflow!$W$6:$W$270)</f>
        <v>P050</v>
      </c>
      <c r="T140" s="765">
        <v>45713.0</v>
      </c>
      <c r="U140" s="760">
        <v>1.0</v>
      </c>
      <c r="V140" s="760" t="str">
        <f t="array" ref="V140">XLOOKUP(T140,Workflow!$T$6:$T$270,Workflow!$W$6:$W$270)</f>
        <v>P069</v>
      </c>
    </row>
    <row r="141">
      <c r="P141" s="765">
        <v>45701.0</v>
      </c>
      <c r="Q141" s="760">
        <v>2.0</v>
      </c>
      <c r="R141" s="760" t="str">
        <f t="array" ref="R141">XLOOKUP(P141,Workflow!$S$6:$S$270,Workflow!$W$6:$W$270)</f>
        <v>P022</v>
      </c>
      <c r="T141" s="765">
        <v>45711.0</v>
      </c>
      <c r="U141" s="760">
        <v>1.0</v>
      </c>
      <c r="V141" s="760" t="str">
        <f t="array" ref="V141">XLOOKUP(T141,Workflow!$T$6:$T$270,Workflow!$W$6:$W$270)</f>
        <v>P045</v>
      </c>
    </row>
    <row r="142">
      <c r="P142" s="765">
        <v>45700.0</v>
      </c>
      <c r="Q142" s="760">
        <v>1.0</v>
      </c>
      <c r="R142" s="760" t="str">
        <f t="array" ref="R142">XLOOKUP(P142,Workflow!$S$6:$S$270,Workflow!$W$6:$W$270)</f>
        <v>P016</v>
      </c>
      <c r="T142" s="765">
        <v>45710.0</v>
      </c>
      <c r="U142" s="760">
        <v>5.0</v>
      </c>
      <c r="V142" s="760" t="str">
        <f t="array" ref="V142">XLOOKUP(T142,Workflow!$T$6:$T$270,Workflow!$W$6:$W$270)</f>
        <v>P004</v>
      </c>
    </row>
    <row r="143">
      <c r="P143" s="765">
        <v>45699.0</v>
      </c>
      <c r="Q143" s="760">
        <v>1.0</v>
      </c>
      <c r="R143" s="760" t="str">
        <f t="array" ref="R143">XLOOKUP(P143,Workflow!$S$6:$S$270,Workflow!$W$6:$W$270)</f>
        <v>P039</v>
      </c>
      <c r="T143" s="765">
        <v>45709.0</v>
      </c>
      <c r="U143" s="760">
        <v>3.0</v>
      </c>
      <c r="V143" s="760" t="str">
        <f t="array" ref="V143">XLOOKUP(T143,Workflow!$T$6:$T$270,Workflow!$W$6:$W$270)</f>
        <v>P054</v>
      </c>
    </row>
    <row r="144">
      <c r="P144" s="765">
        <v>45696.0</v>
      </c>
      <c r="Q144" s="760">
        <v>3.0</v>
      </c>
      <c r="R144" s="760" t="str">
        <f t="array" ref="R144">XLOOKUP(P144,Workflow!$S$6:$S$270,Workflow!$W$6:$W$270)</f>
        <v>P042</v>
      </c>
      <c r="T144" s="765">
        <v>45708.0</v>
      </c>
      <c r="U144" s="760">
        <v>3.0</v>
      </c>
      <c r="V144" s="760" t="str">
        <f t="array" ref="V144">XLOOKUP(T144,Workflow!$T$6:$T$270,Workflow!$W$6:$W$270)</f>
        <v>P011</v>
      </c>
    </row>
    <row r="145">
      <c r="P145" s="765">
        <v>45695.0</v>
      </c>
      <c r="Q145" s="760">
        <v>2.0</v>
      </c>
      <c r="R145" s="760" t="str">
        <f t="array" ref="R145">XLOOKUP(P145,Workflow!$S$6:$S$270,Workflow!$W$6:$W$270)</f>
        <v>P007</v>
      </c>
      <c r="T145" s="765">
        <v>45707.0</v>
      </c>
      <c r="U145" s="760">
        <v>1.0</v>
      </c>
      <c r="V145" s="760" t="str">
        <f t="array" ref="V145">XLOOKUP(T145,Workflow!$T$6:$T$270,Workflow!$W$6:$W$270)</f>
        <v>P036</v>
      </c>
    </row>
    <row r="146">
      <c r="P146" s="765">
        <v>45694.0</v>
      </c>
      <c r="Q146" s="760">
        <v>2.0</v>
      </c>
      <c r="R146" s="760" t="str">
        <f t="array" ref="R146">XLOOKUP(P146,Workflow!$S$6:$S$270,Workflow!$W$6:$W$270)</f>
        <v>P024</v>
      </c>
      <c r="T146" s="765">
        <v>45706.0</v>
      </c>
      <c r="U146" s="760">
        <v>1.0</v>
      </c>
      <c r="V146" s="760" t="str">
        <f t="array" ref="V146">XLOOKUP(T146,Workflow!$T$6:$T$270,Workflow!$W$6:$W$270)</f>
        <v>P018</v>
      </c>
    </row>
    <row r="147">
      <c r="P147" s="765">
        <v>45693.0</v>
      </c>
      <c r="Q147" s="760">
        <v>1.0</v>
      </c>
      <c r="R147" s="760" t="str">
        <f t="array" ref="R147">XLOOKUP(P147,Workflow!$S$6:$S$270,Workflow!$W$6:$W$270)</f>
        <v>P038</v>
      </c>
      <c r="T147" s="765">
        <v>45702.0</v>
      </c>
      <c r="U147" s="760">
        <v>2.0</v>
      </c>
      <c r="V147" s="760" t="str">
        <f t="array" ref="V147">XLOOKUP(T147,Workflow!$T$6:$T$270,Workflow!$W$6:$W$270)</f>
        <v>P050</v>
      </c>
    </row>
    <row r="148">
      <c r="P148" s="765">
        <v>45691.0</v>
      </c>
      <c r="Q148" s="760">
        <v>1.0</v>
      </c>
      <c r="R148" s="760" t="str">
        <f t="array" ref="R148">XLOOKUP(P148,Workflow!$S$6:$S$270,Workflow!$W$6:$W$270)</f>
        <v>P014</v>
      </c>
      <c r="T148" s="765">
        <v>45701.0</v>
      </c>
      <c r="U148" s="760">
        <v>3.0</v>
      </c>
      <c r="V148" s="760" t="str">
        <f t="array" ref="V148">XLOOKUP(T148,Workflow!$T$6:$T$270,Workflow!$W$6:$W$270)</f>
        <v>P016</v>
      </c>
    </row>
    <row r="149">
      <c r="P149" s="765">
        <v>45689.0</v>
      </c>
      <c r="Q149" s="760">
        <v>2.0</v>
      </c>
      <c r="R149" s="760" t="str">
        <f t="array" ref="R149">XLOOKUP(P149,Workflow!$S$6:$S$270,Workflow!$W$6:$W$270)</f>
        <v>P023</v>
      </c>
      <c r="T149" s="765">
        <v>45699.0</v>
      </c>
      <c r="U149" s="760">
        <v>1.0</v>
      </c>
      <c r="V149" s="760" t="str">
        <f t="array" ref="V149">XLOOKUP(T149,Workflow!$T$6:$T$270,Workflow!$W$6:$W$270)</f>
        <v>P039</v>
      </c>
    </row>
    <row r="150">
      <c r="P150" s="765">
        <v>45682.0</v>
      </c>
      <c r="Q150" s="760">
        <v>2.0</v>
      </c>
      <c r="R150" s="760" t="str">
        <f t="array" ref="R150">XLOOKUP(P150,Workflow!$S$6:$S$270,Workflow!$W$6:$W$270)</f>
        <v>P028</v>
      </c>
      <c r="T150" s="765">
        <v>45697.0</v>
      </c>
      <c r="U150" s="760">
        <v>2.0</v>
      </c>
      <c r="V150" s="760" t="str">
        <f t="array" ref="V150">XLOOKUP(T150,Workflow!$T$6:$T$270,Workflow!$W$6:$W$270)</f>
        <v>P042</v>
      </c>
    </row>
    <row r="151">
      <c r="P151" s="765">
        <v>45681.0</v>
      </c>
      <c r="Q151" s="760">
        <v>1.0</v>
      </c>
      <c r="R151" s="760" t="str">
        <f t="array" ref="R151">XLOOKUP(P151,Workflow!$S$6:$S$270,Workflow!$W$6:$W$270)</f>
        <v>P019</v>
      </c>
      <c r="T151" s="765">
        <v>45696.0</v>
      </c>
      <c r="U151" s="760">
        <v>3.0</v>
      </c>
      <c r="V151" s="760" t="str">
        <f t="array" ref="V151">XLOOKUP(T151,Workflow!$T$6:$T$270,Workflow!$W$6:$W$270)</f>
        <v>P007</v>
      </c>
    </row>
    <row r="152">
      <c r="P152" s="765">
        <v>45680.0</v>
      </c>
      <c r="Q152" s="760">
        <v>1.0</v>
      </c>
      <c r="R152" s="760" t="str">
        <f t="array" ref="R152">XLOOKUP(P152,Workflow!$S$6:$S$270,Workflow!$W$6:$W$270)</f>
        <v>P013</v>
      </c>
      <c r="T152" s="765">
        <v>45695.0</v>
      </c>
      <c r="U152" s="760">
        <v>1.0</v>
      </c>
      <c r="V152" s="760" t="str">
        <f t="array" ref="V152">XLOOKUP(T152,Workflow!$T$6:$T$270,Workflow!$W$6:$W$270)</f>
        <v>P032</v>
      </c>
    </row>
    <row r="153">
      <c r="P153" s="765">
        <v>45679.0</v>
      </c>
      <c r="Q153" s="760">
        <v>1.0</v>
      </c>
      <c r="R153" s="760" t="str">
        <f t="array" ref="R153">XLOOKUP(P153,Workflow!$S$6:$S$270,Workflow!$W$6:$W$270)</f>
        <v>P027</v>
      </c>
      <c r="T153" s="765">
        <v>45694.0</v>
      </c>
      <c r="U153" s="760">
        <v>1.0</v>
      </c>
      <c r="V153" s="760" t="str">
        <f t="array" ref="V153">XLOOKUP(T153,Workflow!$T$6:$T$270,Workflow!$W$6:$W$270)</f>
        <v>P024</v>
      </c>
    </row>
    <row r="154">
      <c r="P154" s="765">
        <v>45674.0</v>
      </c>
      <c r="Q154" s="760">
        <v>6.0</v>
      </c>
      <c r="R154" s="760" t="str">
        <f t="array" ref="R154">XLOOKUP(P154,Workflow!$S$6:$S$270,Workflow!$W$6:$W$270)</f>
        <v>P001</v>
      </c>
      <c r="T154" s="765">
        <v>45693.0</v>
      </c>
      <c r="U154" s="760">
        <v>1.0</v>
      </c>
      <c r="V154" s="760" t="str">
        <f t="array" ref="V154">XLOOKUP(T154,Workflow!$T$6:$T$270,Workflow!$W$6:$W$270)</f>
        <v>P038</v>
      </c>
    </row>
    <row r="155">
      <c r="P155" s="765">
        <v>45672.0</v>
      </c>
      <c r="Q155" s="760">
        <v>1.0</v>
      </c>
      <c r="R155" s="760" t="str">
        <f t="array" ref="R155">XLOOKUP(P155,Workflow!$S$6:$S$270,Workflow!$W$6:$W$270)</f>
        <v>P015</v>
      </c>
      <c r="T155" s="765">
        <v>45692.0</v>
      </c>
      <c r="U155" s="760">
        <v>1.0</v>
      </c>
      <c r="V155" s="760" t="str">
        <f t="array" ref="V155">XLOOKUP(T155,Workflow!$T$6:$T$270,Workflow!$W$6:$W$270)</f>
        <v>P014</v>
      </c>
    </row>
    <row r="156">
      <c r="P156" s="765">
        <v>45668.0</v>
      </c>
      <c r="Q156" s="760">
        <v>1.0</v>
      </c>
      <c r="R156" s="760" t="str">
        <f t="array" ref="R156">XLOOKUP(P156,Workflow!$S$6:$S$270,Workflow!$W$6:$W$270)</f>
        <v>P003</v>
      </c>
      <c r="T156" s="765">
        <v>45689.0</v>
      </c>
      <c r="U156" s="760">
        <v>2.0</v>
      </c>
      <c r="V156" s="760" t="str">
        <f t="array" ref="V156">XLOOKUP(T156,Workflow!$T$6:$T$270,Workflow!$W$6:$W$270)</f>
        <v>P023</v>
      </c>
    </row>
    <row r="157">
      <c r="P157" s="765">
        <v>45665.0</v>
      </c>
      <c r="Q157" s="760">
        <v>2.0</v>
      </c>
      <c r="R157" s="760" t="str">
        <f t="array" ref="R157">XLOOKUP(P157,Workflow!$S$6:$S$270,Workflow!$W$6:$W$270)</f>
        <v>P008</v>
      </c>
      <c r="T157" s="765">
        <v>45683.0</v>
      </c>
      <c r="U157" s="760">
        <v>1.0</v>
      </c>
      <c r="V157" s="760" t="str">
        <f t="array" ref="V157">XLOOKUP(T157,Workflow!$T$6:$T$270,Workflow!$W$6:$W$270)</f>
        <v>P029</v>
      </c>
    </row>
    <row r="158">
      <c r="P158" s="765">
        <v>45664.0</v>
      </c>
      <c r="Q158" s="760">
        <v>2.0</v>
      </c>
      <c r="R158" s="760" t="str">
        <f t="array" ref="R158">XLOOKUP(P158,Workflow!$S$6:$S$270,Workflow!$W$6:$W$270)</f>
        <v>P006</v>
      </c>
      <c r="T158" s="765">
        <v>45682.0</v>
      </c>
      <c r="U158" s="760">
        <v>2.0</v>
      </c>
      <c r="V158" s="760" t="str">
        <f t="array" ref="V158">XLOOKUP(T158,Workflow!$T$6:$T$270,Workflow!$W$6:$W$270)</f>
        <v>P019</v>
      </c>
    </row>
    <row r="159">
      <c r="P159" s="765"/>
      <c r="Q159" s="760">
        <v>5.0</v>
      </c>
      <c r="R159" s="760" t="str">
        <f t="array" ref="R159">XLOOKUP(P159,Workflow!$S$6:$S$270,Workflow!$W$6:$W$270)</f>
        <v>#N/A</v>
      </c>
      <c r="T159" s="765">
        <v>45680.0</v>
      </c>
      <c r="U159" s="760">
        <v>1.0</v>
      </c>
      <c r="V159" s="760" t="str">
        <f t="array" ref="V159">XLOOKUP(T159,Workflow!$T$6:$T$270,Workflow!$W$6:$W$270)</f>
        <v>P013</v>
      </c>
    </row>
    <row r="160">
      <c r="P160" s="760" t="s">
        <v>1261</v>
      </c>
      <c r="Q160" s="760">
        <v>258.0</v>
      </c>
      <c r="R160" s="760" t="str">
        <f t="array" ref="R160">XLOOKUP(P160,Workflow!$S$6:$S$270,Workflow!$W$6:$W$270)</f>
        <v>#N/A</v>
      </c>
      <c r="T160" s="765">
        <v>45679.0</v>
      </c>
      <c r="U160" s="760">
        <v>1.0</v>
      </c>
      <c r="V160" s="760" t="str">
        <f t="array" ref="V160">XLOOKUP(T160,Workflow!$T$6:$T$270,Workflow!$W$6:$W$270)</f>
        <v>P027</v>
      </c>
    </row>
    <row r="161">
      <c r="R161" s="760" t="str">
        <f t="array" ref="R161">XLOOKUP(P161,Workflow!$S$6:$S$270,Workflow!$W$6:$W$270)</f>
        <v>#N/A</v>
      </c>
      <c r="T161" s="765">
        <v>45675.0</v>
      </c>
      <c r="U161" s="760">
        <v>2.0</v>
      </c>
      <c r="V161" s="760" t="str">
        <f t="array" ref="V161">XLOOKUP(T161,Workflow!$T$6:$T$270,Workflow!$W$6:$W$270)</f>
        <v>P026</v>
      </c>
    </row>
    <row r="162">
      <c r="R162" s="760" t="str">
        <f t="array" ref="R162">XLOOKUP(P162,Workflow!$S$6:$S$270,Workflow!$W$6:$W$270)</f>
        <v>#N/A</v>
      </c>
      <c r="T162" s="765">
        <v>45674.0</v>
      </c>
      <c r="U162" s="760">
        <v>5.0</v>
      </c>
      <c r="V162" s="760" t="str">
        <f t="array" ref="V162">XLOOKUP(T162,Workflow!$T$6:$T$270,Workflow!$W$6:$W$270)</f>
        <v>P015</v>
      </c>
    </row>
    <row r="163">
      <c r="R163" s="760" t="str">
        <f t="array" ref="R163">XLOOKUP(P163,Workflow!$S$6:$S$270,Workflow!$W$6:$W$270)</f>
        <v>#N/A</v>
      </c>
      <c r="T163" s="765">
        <v>45668.0</v>
      </c>
      <c r="U163" s="760">
        <v>1.0</v>
      </c>
      <c r="V163" s="760" t="str">
        <f t="array" ref="V163">XLOOKUP(T163,Workflow!$T$6:$T$270,Workflow!$W$6:$W$270)</f>
        <v>P003</v>
      </c>
    </row>
    <row r="164">
      <c r="R164" s="760" t="str">
        <f t="array" ref="R164">XLOOKUP(P164,Workflow!$S$6:$S$270,Workflow!$W$6:$W$270)</f>
        <v>#N/A</v>
      </c>
      <c r="T164" s="765">
        <v>45665.0</v>
      </c>
      <c r="U164" s="760">
        <v>2.0</v>
      </c>
      <c r="V164" s="760" t="str">
        <f t="array" ref="V164">XLOOKUP(T164,Workflow!$T$6:$T$270,Workflow!$W$6:$W$270)</f>
        <v>P008</v>
      </c>
    </row>
    <row r="165">
      <c r="R165" s="760" t="str">
        <f t="array" ref="R165">XLOOKUP(P165,Workflow!$S$6:$S$270,Workflow!$W$6:$W$270)</f>
        <v>#N/A</v>
      </c>
      <c r="T165" s="765">
        <v>45664.0</v>
      </c>
      <c r="U165" s="760">
        <v>2.0</v>
      </c>
      <c r="V165" s="760" t="str">
        <f t="array" ref="V165">XLOOKUP(T165,Workflow!$T$6:$T$270,Workflow!$W$6:$W$270)</f>
        <v>P006</v>
      </c>
    </row>
    <row r="166">
      <c r="R166" s="760" t="str">
        <f t="array" ref="R166">XLOOKUP(P166,Workflow!$S$6:$S$270,Workflow!$W$6:$W$270)</f>
        <v>#N/A</v>
      </c>
      <c r="T166" s="765"/>
      <c r="U166" s="760">
        <v>10.0</v>
      </c>
      <c r="V166" s="760" t="str">
        <f t="array" ref="V166">XLOOKUP(T166,Workflow!$T$6:$T$270,Workflow!$W$6:$W$270)</f>
        <v>#N/A</v>
      </c>
    </row>
    <row r="167">
      <c r="V167" s="760" t="str">
        <f t="array" ref="V167">XLOOKUP(T167,Workflow!$T$6:$T$270,Workflow!$W$6:$W$270)</f>
        <v>#N/A</v>
      </c>
    </row>
    <row r="168">
      <c r="V168" s="760" t="str">
        <f t="array" ref="V168">XLOOKUP(T168,Workflow!$T$6:$T$270,Workflow!$W$6:$W$270)</f>
        <v>#N/A</v>
      </c>
    </row>
    <row r="169">
      <c r="V169" s="760" t="str">
        <f t="array" ref="V169">XLOOKUP(T169,Workflow!$T$6:$T$270,Workflow!$W$6:$W$270)</f>
        <v>#N/A</v>
      </c>
    </row>
    <row r="170">
      <c r="V170" s="760" t="str">
        <f t="array" ref="V170">XLOOKUP(T170,Workflow!$T$6:$T$270,Workflow!$W$6:$W$270)</f>
        <v>#N/A</v>
      </c>
    </row>
    <row r="171">
      <c r="V171" s="760" t="str">
        <f t="array" ref="V171">XLOOKUP(T171,Workflow!$T$6:$T$270,Workflow!$W$6:$W$270)</f>
        <v>#N/A</v>
      </c>
    </row>
  </sheetData>
  <mergeCells count="1">
    <mergeCell ref="A1:C3"/>
  </mergeCells>
  <drawing r:id="rId2"/>
  <tableParts count="1">
    <tablePart r:id="rId4"/>
  </tableParts>
</worksheet>
</file>